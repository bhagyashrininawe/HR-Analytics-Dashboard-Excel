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B6C1B2E7-4DE8-45C5-BE50-1A4129360098}" xr6:coauthVersionLast="47" xr6:coauthVersionMax="47" xr10:uidLastSave="{00000000-0000-0000-0000-000000000000}"/>
  <bookViews>
    <workbookView xWindow="-108" yWindow="-108" windowWidth="23256" windowHeight="12456" activeTab="1" xr2:uid="{E883F416-FD9F-40A1-A385-18225CBEA511}"/>
  </bookViews>
  <sheets>
    <sheet name="Reports" sheetId="1" r:id="rId1"/>
    <sheet name="Dashboard" sheetId="2" r:id="rId2"/>
  </sheets>
  <definedNames>
    <definedName name="_xlchart.v1.0" hidden="1">Reports!$A$17:$A$23</definedName>
    <definedName name="_xlchart.v1.1" hidden="1">Reports!$B$17:$B$23</definedName>
    <definedName name="Slicer_Department">#N/A</definedName>
    <definedName name="Slicer_Gender">#N/A</definedName>
    <definedName name="Slicer_Location">#N/A</definedName>
    <definedName name="Slicer_Year">#N/A</definedName>
  </definedNames>
  <calcPr calcId="191029"/>
  <pivotCaches>
    <pivotCache cacheId="1" r:id="rId3"/>
    <pivotCache cacheId="4" r:id="rId4"/>
    <pivotCache cacheId="5" r:id="rId5"/>
    <pivotCache cacheId="6" r:id="rId6"/>
    <pivotCache cacheId="657" r:id="rId7"/>
    <pivotCache cacheId="660" r:id="rId8"/>
    <pivotCache cacheId="663" r:id="rId9"/>
    <pivotCache cacheId="666" r:id="rId10"/>
    <pivotCache cacheId="669"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Messy_Dataset_2000_Rows_cc5d4b6f-2bca-4c0f-99c0-8a7ffd7e7561" name="HR_Analytics_Messy_Dataset_2000_Rows" connection="Query - HR_Analytics_Messy_Dataset_2000_Row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8" i="1" l="1"/>
  <c r="B19" i="1"/>
  <c r="B20" i="1"/>
  <c r="B21" i="1"/>
  <c r="B22" i="1"/>
  <c r="B23" i="1"/>
  <c r="B24" i="1"/>
  <c r="B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5F2F77-77C9-4AF3-94F0-6DE09847F438}" name="Query - HR_Analytics_Messy_Dataset_2000_Rows" description="Connection to the 'HR_Analytics_Messy_Dataset_2000_Rows' query in the workbook." type="100" refreshedVersion="8" minRefreshableVersion="5">
    <extLst>
      <ext xmlns:x15="http://schemas.microsoft.com/office/spreadsheetml/2010/11/main" uri="{DE250136-89BD-433C-8126-D09CA5730AF9}">
        <x15:connection id="8f18e827-1683-4e42-948d-4a13a90774eb"/>
      </ext>
    </extLst>
  </connection>
  <connection id="2" xr16:uid="{AA7F1ECD-DB97-4664-A1E0-870955E82A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_Analytics_Messy_Dataset_2000_Rows].[Employment Status].&amp;[Exited]}"/>
  </metadataStrings>
  <mdxMetadata count="1">
    <mdx n="0" f="s">
      <ms ns="1" c="0"/>
    </mdx>
  </mdxMetadata>
  <valueMetadata count="1">
    <bk>
      <rc t="1" v="0"/>
    </bk>
  </valueMetadata>
</metadata>
</file>

<file path=xl/sharedStrings.xml><?xml version="1.0" encoding="utf-8"?>
<sst xmlns="http://schemas.openxmlformats.org/spreadsheetml/2006/main" count="67" uniqueCount="33">
  <si>
    <t>Total Employee</t>
  </si>
  <si>
    <t>Active Emp</t>
  </si>
  <si>
    <t>Attrition Rate</t>
  </si>
  <si>
    <t>Average Salary</t>
  </si>
  <si>
    <t>Row Labels</t>
  </si>
  <si>
    <t>Admin</t>
  </si>
  <si>
    <t>Finance</t>
  </si>
  <si>
    <t>Hr</t>
  </si>
  <si>
    <t>It</t>
  </si>
  <si>
    <t>Marketing</t>
  </si>
  <si>
    <t>Operations</t>
  </si>
  <si>
    <t>Sales</t>
  </si>
  <si>
    <t>Grand Total</t>
  </si>
  <si>
    <t>Female</t>
  </si>
  <si>
    <t>Male</t>
  </si>
  <si>
    <t>Count of Employee ID</t>
  </si>
  <si>
    <t>Employment Status</t>
  </si>
  <si>
    <t>Exited</t>
  </si>
  <si>
    <t>Average of Salary</t>
  </si>
  <si>
    <t>April</t>
  </si>
  <si>
    <t>August</t>
  </si>
  <si>
    <t>December</t>
  </si>
  <si>
    <t>February</t>
  </si>
  <si>
    <t>January</t>
  </si>
  <si>
    <t>July</t>
  </si>
  <si>
    <t>June</t>
  </si>
  <si>
    <t>March</t>
  </si>
  <si>
    <t>May</t>
  </si>
  <si>
    <t>November</t>
  </si>
  <si>
    <t>October</t>
  </si>
  <si>
    <t>September</t>
  </si>
  <si>
    <t>Distinct Count of Employee ID</t>
  </si>
  <si>
    <t>Employees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</si>
</sst>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 #,##0.00"/>
  </numFmts>
  <fonts count="3" x14ac:knownFonts="1">
    <font>
      <sz val="11"/>
      <color theme="1"/>
      <name val="Calibri"/>
      <family val="2"/>
      <scheme val="minor"/>
    </font>
    <font>
      <b/>
      <sz val="11"/>
      <color theme="1"/>
      <name val="Calibri"/>
      <family val="2"/>
      <scheme val="minor"/>
    </font>
    <font>
      <sz val="14"/>
      <color rgb="FF595959"/>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164" fontId="0" fillId="0" borderId="0" xfId="0" applyNumberFormat="1"/>
    <xf numFmtId="1" fontId="0" fillId="0" borderId="0" xfId="0" applyNumberFormat="1"/>
    <xf numFmtId="0" fontId="0" fillId="0" borderId="0" xfId="0" applyAlignment="1">
      <alignment horizontal="left"/>
    </xf>
    <xf numFmtId="0" fontId="1" fillId="2" borderId="1" xfId="0" applyFont="1" applyFill="1" applyBorder="1"/>
    <xf numFmtId="165" fontId="0" fillId="0" borderId="0" xfId="0" applyNumberFormat="1"/>
    <xf numFmtId="0" fontId="1" fillId="2" borderId="2" xfId="0" applyFont="1" applyFill="1" applyBorder="1" applyAlignment="1">
      <alignment horizontal="left"/>
    </xf>
    <xf numFmtId="0" fontId="0" fillId="3" borderId="0" xfId="0" applyFill="1"/>
    <xf numFmtId="0" fontId="2" fillId="0" borderId="0" xfId="0" applyFont="1" applyAlignment="1">
      <alignment horizontal="center" vertical="center" readingOrder="1"/>
    </xf>
  </cellXfs>
  <cellStyles count="1">
    <cellStyle name="Normal" xfId="0" builtinId="0"/>
  </cellStyles>
  <dxfs count="46">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numFmt numFmtId="166" formatCode="0.0"/>
    </dxf>
    <dxf>
      <numFmt numFmtId="165" formatCode="&quot;₹&quot;\ #,##0.00"/>
    </dxf>
    <dxf>
      <font>
        <b/>
        <color theme="1"/>
      </font>
      <border>
        <bottom style="thin">
          <color theme="4"/>
        </bottom>
        <vertical/>
        <horizontal/>
      </border>
    </dxf>
    <dxf>
      <font>
        <color theme="1"/>
      </font>
      <fill>
        <patternFill patternType="none">
          <fgColor indexed="64"/>
          <bgColor auto="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D0438236-D459-4B45-9F80-1130E6414281}">
      <tableStyleElement type="wholeTable" dxfId="45"/>
      <tableStyleElement type="headerRow" dxfId="44"/>
    </tableStyle>
  </tableStyles>
  <extLst>
    <ext xmlns:x14="http://schemas.microsoft.com/office/spreadsheetml/2009/9/main" uri="{46F421CA-312F-682f-3DD2-61675219B42D}">
      <x14:dxfs count="8">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theme="1"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2" tint="-0.499984740745262"/>
              <bgColor theme="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rgb="FFFFFFFF"/>
              <bgColor theme="3" tint="0.7999816888943144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report.xlsx]Reports!Monthly emp</c:name>
    <c:fmtId val="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Joining Trend by Month</a:t>
            </a:r>
            <a:endParaRPr lang="en-IN" sz="1050" b="1">
              <a:solidFill>
                <a:schemeClr val="bg1"/>
              </a:solidFill>
            </a:endParaRPr>
          </a:p>
        </c:rich>
      </c:tx>
      <c:layout>
        <c:manualLayout>
          <c:xMode val="edge"/>
          <c:yMode val="edge"/>
          <c:x val="0.29948717948717951"/>
          <c:y val="0"/>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bg1"/>
            </a:solidFill>
            <a:round/>
          </a:ln>
          <a:effectLst/>
        </c:spPr>
        <c:marker>
          <c:symbol val="circle"/>
          <c:size val="5"/>
          <c:spPr>
            <a:solidFill>
              <a:schemeClr val="bg1"/>
            </a:solidFill>
            <a:ln w="1270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2700" cap="rnd">
            <a:solidFill>
              <a:schemeClr val="bg1"/>
            </a:solidFill>
            <a:round/>
          </a:ln>
          <a:effectLst/>
        </c:spPr>
        <c:marker>
          <c:symbol val="circle"/>
          <c:size val="5"/>
          <c:spPr>
            <a:solidFill>
              <a:schemeClr val="bg1"/>
            </a:solidFill>
            <a:ln w="12700">
              <a:solidFill>
                <a:schemeClr val="bg1"/>
              </a:solidFill>
            </a:ln>
            <a:effectLst/>
          </c:spPr>
        </c:marker>
      </c:pivotFmt>
    </c:pivotFmts>
    <c:plotArea>
      <c:layout>
        <c:manualLayout>
          <c:layoutTarget val="inner"/>
          <c:xMode val="edge"/>
          <c:yMode val="edge"/>
          <c:x val="0.11109128356122623"/>
          <c:y val="6.9933878457500501E-2"/>
          <c:w val="0.89019685039370078"/>
          <c:h val="0.63980718756309318"/>
        </c:manualLayout>
      </c:layout>
      <c:lineChart>
        <c:grouping val="standard"/>
        <c:varyColors val="0"/>
        <c:ser>
          <c:idx val="0"/>
          <c:order val="0"/>
          <c:tx>
            <c:strRef>
              <c:f>Reports!$I$28</c:f>
              <c:strCache>
                <c:ptCount val="1"/>
                <c:pt idx="0">
                  <c:v>Total</c:v>
                </c:pt>
              </c:strCache>
            </c:strRef>
          </c:tx>
          <c:spPr>
            <a:ln w="12700" cap="rnd">
              <a:solidFill>
                <a:schemeClr val="bg1"/>
              </a:solidFill>
              <a:round/>
            </a:ln>
            <a:effectLst/>
          </c:spPr>
          <c:marker>
            <c:symbol val="circle"/>
            <c:size val="5"/>
            <c:spPr>
              <a:solidFill>
                <a:schemeClr val="bg1"/>
              </a:solidFill>
              <a:ln w="12700">
                <a:solidFill>
                  <a:schemeClr val="bg1"/>
                </a:solidFill>
              </a:ln>
              <a:effectLst/>
            </c:spPr>
          </c:marker>
          <c:cat>
            <c:strRef>
              <c:f>Reports!$H$29:$H$41</c:f>
              <c:strCache>
                <c:ptCount val="12"/>
                <c:pt idx="0">
                  <c:v>August</c:v>
                </c:pt>
                <c:pt idx="1">
                  <c:v>January</c:v>
                </c:pt>
                <c:pt idx="2">
                  <c:v>May</c:v>
                </c:pt>
                <c:pt idx="3">
                  <c:v>June</c:v>
                </c:pt>
                <c:pt idx="4">
                  <c:v>November</c:v>
                </c:pt>
                <c:pt idx="5">
                  <c:v>October</c:v>
                </c:pt>
                <c:pt idx="6">
                  <c:v>December</c:v>
                </c:pt>
                <c:pt idx="7">
                  <c:v>April</c:v>
                </c:pt>
                <c:pt idx="8">
                  <c:v>February</c:v>
                </c:pt>
                <c:pt idx="9">
                  <c:v>July</c:v>
                </c:pt>
                <c:pt idx="10">
                  <c:v>March</c:v>
                </c:pt>
                <c:pt idx="11">
                  <c:v>September</c:v>
                </c:pt>
              </c:strCache>
            </c:strRef>
          </c:cat>
          <c:val>
            <c:numRef>
              <c:f>Reports!$I$29:$I$41</c:f>
              <c:numCache>
                <c:formatCode>General</c:formatCode>
                <c:ptCount val="12"/>
                <c:pt idx="0">
                  <c:v>173</c:v>
                </c:pt>
                <c:pt idx="1">
                  <c:v>192</c:v>
                </c:pt>
                <c:pt idx="2">
                  <c:v>163</c:v>
                </c:pt>
                <c:pt idx="3">
                  <c:v>175</c:v>
                </c:pt>
                <c:pt idx="4">
                  <c:v>159</c:v>
                </c:pt>
                <c:pt idx="5">
                  <c:v>172</c:v>
                </c:pt>
                <c:pt idx="6">
                  <c:v>161</c:v>
                </c:pt>
                <c:pt idx="7">
                  <c:v>159</c:v>
                </c:pt>
                <c:pt idx="8">
                  <c:v>161</c:v>
                </c:pt>
                <c:pt idx="9">
                  <c:v>146</c:v>
                </c:pt>
                <c:pt idx="10">
                  <c:v>155</c:v>
                </c:pt>
                <c:pt idx="11">
                  <c:v>140</c:v>
                </c:pt>
              </c:numCache>
            </c:numRef>
          </c:val>
          <c:smooth val="0"/>
          <c:extLst>
            <c:ext xmlns:c16="http://schemas.microsoft.com/office/drawing/2014/chart" uri="{C3380CC4-5D6E-409C-BE32-E72D297353CC}">
              <c16:uniqueId val="{00000000-95B4-4554-BB27-BA44637217B2}"/>
            </c:ext>
          </c:extLst>
        </c:ser>
        <c:dLbls>
          <c:showLegendKey val="0"/>
          <c:showVal val="0"/>
          <c:showCatName val="0"/>
          <c:showSerName val="0"/>
          <c:showPercent val="0"/>
          <c:showBubbleSize val="0"/>
        </c:dLbls>
        <c:marker val="1"/>
        <c:smooth val="0"/>
        <c:axId val="638220191"/>
        <c:axId val="638217311"/>
      </c:lineChart>
      <c:catAx>
        <c:axId val="63822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8217311"/>
        <c:crosses val="autoZero"/>
        <c:auto val="1"/>
        <c:lblAlgn val="ctr"/>
        <c:lblOffset val="100"/>
        <c:noMultiLvlLbl val="0"/>
      </c:catAx>
      <c:valAx>
        <c:axId val="638217311"/>
        <c:scaling>
          <c:orientation val="minMax"/>
          <c:max val="200"/>
          <c:min val="1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8220191"/>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report.xlsx]Reports!Exited Attribute</c:name>
    <c:fmtId val="2"/>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Attrition by Department</a:t>
            </a:r>
            <a:endParaRPr lang="en-US" sz="1050" b="1">
              <a:solidFill>
                <a:schemeClr val="bg1"/>
              </a:solidFill>
            </a:endParaRPr>
          </a:p>
        </c:rich>
      </c:tx>
      <c:layout>
        <c:manualLayout>
          <c:xMode val="edge"/>
          <c:yMode val="edge"/>
          <c:x val="0.28188225538971806"/>
          <c:y val="1.267427122940430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1270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5328345150886"/>
          <c:y val="0.11023172958893446"/>
          <c:w val="0.73721288570272003"/>
          <c:h val="0.77444337993872436"/>
        </c:manualLayout>
      </c:layout>
      <c:barChart>
        <c:barDir val="bar"/>
        <c:grouping val="clustered"/>
        <c:varyColors val="0"/>
        <c:ser>
          <c:idx val="0"/>
          <c:order val="0"/>
          <c:tx>
            <c:strRef>
              <c:f>Reports!$J$6</c:f>
              <c:strCache>
                <c:ptCount val="1"/>
                <c:pt idx="0">
                  <c:v>Total</c:v>
                </c:pt>
              </c:strCache>
            </c:strRef>
          </c:tx>
          <c:spPr>
            <a:solidFill>
              <a:schemeClr val="bg1"/>
            </a:solidFill>
            <a:ln w="12700">
              <a:solidFill>
                <a:srgbClr val="FFFF00"/>
              </a:solidFill>
            </a:ln>
            <a:effectLst/>
          </c:spPr>
          <c:invertIfNegative val="0"/>
          <c:cat>
            <c:strRef>
              <c:f>Reports!$I$7:$I$14</c:f>
              <c:strCache>
                <c:ptCount val="7"/>
                <c:pt idx="0">
                  <c:v>Admin</c:v>
                </c:pt>
                <c:pt idx="1">
                  <c:v>Finance</c:v>
                </c:pt>
                <c:pt idx="2">
                  <c:v>Hr</c:v>
                </c:pt>
                <c:pt idx="3">
                  <c:v>It</c:v>
                </c:pt>
                <c:pt idx="4">
                  <c:v>Marketing</c:v>
                </c:pt>
                <c:pt idx="5">
                  <c:v>Operations</c:v>
                </c:pt>
                <c:pt idx="6">
                  <c:v>Sales</c:v>
                </c:pt>
              </c:strCache>
            </c:strRef>
          </c:cat>
          <c:val>
            <c:numRef>
              <c:f>Reports!$J$7:$J$14</c:f>
              <c:numCache>
                <c:formatCode>General</c:formatCode>
                <c:ptCount val="7"/>
                <c:pt idx="0">
                  <c:v>106</c:v>
                </c:pt>
                <c:pt idx="1">
                  <c:v>99</c:v>
                </c:pt>
                <c:pt idx="2">
                  <c:v>286</c:v>
                </c:pt>
                <c:pt idx="3">
                  <c:v>114</c:v>
                </c:pt>
                <c:pt idx="4">
                  <c:v>90</c:v>
                </c:pt>
                <c:pt idx="5">
                  <c:v>92</c:v>
                </c:pt>
                <c:pt idx="6">
                  <c:v>186</c:v>
                </c:pt>
              </c:numCache>
            </c:numRef>
          </c:val>
          <c:extLst>
            <c:ext xmlns:c16="http://schemas.microsoft.com/office/drawing/2014/chart" uri="{C3380CC4-5D6E-409C-BE32-E72D297353CC}">
              <c16:uniqueId val="{00000000-417B-469A-A479-4A2B786C5639}"/>
            </c:ext>
          </c:extLst>
        </c:ser>
        <c:dLbls>
          <c:showLegendKey val="0"/>
          <c:showVal val="0"/>
          <c:showCatName val="0"/>
          <c:showSerName val="0"/>
          <c:showPercent val="0"/>
          <c:showBubbleSize val="0"/>
        </c:dLbls>
        <c:gapWidth val="182"/>
        <c:axId val="970483775"/>
        <c:axId val="970484255"/>
      </c:barChart>
      <c:catAx>
        <c:axId val="97048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70484255"/>
        <c:crosses val="autoZero"/>
        <c:auto val="1"/>
        <c:lblAlgn val="ctr"/>
        <c:lblOffset val="100"/>
        <c:noMultiLvlLbl val="0"/>
      </c:catAx>
      <c:valAx>
        <c:axId val="970484255"/>
        <c:scaling>
          <c:orientation val="minMax"/>
          <c:max val="3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7048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report.xlsx]Reports!Gender</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1" i="0" u="none" strike="noStrike" baseline="0">
                <a:solidFill>
                  <a:schemeClr val="bg1"/>
                </a:solidFill>
              </a:rPr>
              <a:t>Gender Distribution</a:t>
            </a:r>
            <a:endParaRPr lang="en-IN" sz="1050" b="1">
              <a:solidFill>
                <a:schemeClr val="bg1"/>
              </a:solidFill>
            </a:endParaRPr>
          </a:p>
        </c:rich>
      </c:tx>
      <c:layout>
        <c:manualLayout>
          <c:xMode val="edge"/>
          <c:yMode val="edge"/>
          <c:x val="0.22972209356183418"/>
          <c:y val="2.487562189054726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2">
              <a:lumMod val="75000"/>
            </a:schemeClr>
          </a:solidFill>
          <a:ln w="19050">
            <a:solidFill>
              <a:srgbClr val="FFFF00"/>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300663075010359"/>
                  <c:h val="0.30867422060047373"/>
                </c:manualLayout>
              </c15:layout>
            </c:ext>
          </c:extLst>
        </c:dLbl>
      </c:pivotFmt>
      <c:pivotFmt>
        <c:idx val="6"/>
        <c:spPr>
          <a:solidFill>
            <a:schemeClr val="bg2">
              <a:lumMod val="50000"/>
            </a:schemeClr>
          </a:solidFill>
          <a:ln w="19050">
            <a:solidFill>
              <a:srgbClr val="FFFF00"/>
            </a:solidFill>
          </a:ln>
          <a:effectLst/>
        </c:spPr>
      </c:pivotFmt>
    </c:pivotFmts>
    <c:plotArea>
      <c:layout>
        <c:manualLayout>
          <c:layoutTarget val="inner"/>
          <c:xMode val="edge"/>
          <c:yMode val="edge"/>
          <c:x val="0.19139673717255931"/>
          <c:y val="0.16578524699337957"/>
          <c:w val="0.65642221192939121"/>
          <c:h val="0.83277444797012312"/>
        </c:manualLayout>
      </c:layout>
      <c:doughnutChart>
        <c:varyColors val="1"/>
        <c:ser>
          <c:idx val="0"/>
          <c:order val="0"/>
          <c:tx>
            <c:strRef>
              <c:f>Reports!$F$6</c:f>
              <c:strCache>
                <c:ptCount val="1"/>
                <c:pt idx="0">
                  <c:v>Total</c:v>
                </c:pt>
              </c:strCache>
            </c:strRef>
          </c:tx>
          <c:spPr>
            <a:ln>
              <a:solidFill>
                <a:srgbClr val="FFFF00"/>
              </a:solidFill>
            </a:ln>
          </c:spPr>
          <c:explosion val="11"/>
          <c:dPt>
            <c:idx val="0"/>
            <c:bubble3D val="0"/>
            <c:spPr>
              <a:solidFill>
                <a:schemeClr val="bg2">
                  <a:lumMod val="75000"/>
                </a:schemeClr>
              </a:solidFill>
              <a:ln w="19050">
                <a:solidFill>
                  <a:srgbClr val="FFFF00"/>
                </a:solidFill>
              </a:ln>
              <a:effectLst/>
            </c:spPr>
            <c:extLst>
              <c:ext xmlns:c16="http://schemas.microsoft.com/office/drawing/2014/chart" uri="{C3380CC4-5D6E-409C-BE32-E72D297353CC}">
                <c16:uniqueId val="{00000001-FBA1-4EC9-8035-3187EC3BCFB7}"/>
              </c:ext>
            </c:extLst>
          </c:dPt>
          <c:dPt>
            <c:idx val="1"/>
            <c:bubble3D val="0"/>
            <c:spPr>
              <a:solidFill>
                <a:schemeClr val="bg2">
                  <a:lumMod val="50000"/>
                </a:schemeClr>
              </a:solidFill>
              <a:ln w="19050">
                <a:solidFill>
                  <a:srgbClr val="FFFF00"/>
                </a:solidFill>
              </a:ln>
              <a:effectLst/>
            </c:spPr>
            <c:extLst>
              <c:ext xmlns:c16="http://schemas.microsoft.com/office/drawing/2014/chart" uri="{C3380CC4-5D6E-409C-BE32-E72D297353CC}">
                <c16:uniqueId val="{00000003-FBA1-4EC9-8035-3187EC3BCFB7}"/>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300663075010359"/>
                      <c:h val="0.30867422060047373"/>
                    </c:manualLayout>
                  </c15:layout>
                </c:ext>
                <c:ext xmlns:c16="http://schemas.microsoft.com/office/drawing/2014/chart" uri="{C3380CC4-5D6E-409C-BE32-E72D297353CC}">
                  <c16:uniqueId val="{00000001-FBA1-4EC9-8035-3187EC3BCF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Reports!$E$7:$E$9</c:f>
              <c:strCache>
                <c:ptCount val="2"/>
                <c:pt idx="0">
                  <c:v>Female</c:v>
                </c:pt>
                <c:pt idx="1">
                  <c:v>Male</c:v>
                </c:pt>
              </c:strCache>
            </c:strRef>
          </c:cat>
          <c:val>
            <c:numRef>
              <c:f>Reports!$F$7:$F$9</c:f>
              <c:numCache>
                <c:formatCode>General</c:formatCode>
                <c:ptCount val="2"/>
                <c:pt idx="0">
                  <c:v>976</c:v>
                </c:pt>
                <c:pt idx="1">
                  <c:v>980</c:v>
                </c:pt>
              </c:numCache>
            </c:numRef>
          </c:val>
          <c:extLst>
            <c:ext xmlns:c16="http://schemas.microsoft.com/office/drawing/2014/chart" uri="{C3380CC4-5D6E-409C-BE32-E72D297353CC}">
              <c16:uniqueId val="{00000004-FBA1-4EC9-8035-3187EC3BCFB7}"/>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report.xlsx]Reports!Sales By Department</c:name>
    <c:fmtId val="4"/>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Salary by Department</a:t>
            </a:r>
            <a:endParaRPr lang="en-US" sz="1050" b="1">
              <a:solidFill>
                <a:schemeClr val="bg1"/>
              </a:solidFill>
            </a:endParaRPr>
          </a:p>
        </c:rich>
      </c:tx>
      <c:layout>
        <c:manualLayout>
          <c:xMode val="edge"/>
          <c:yMode val="edge"/>
          <c:x val="0.32543975481325704"/>
          <c:y val="1.173708920187793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3175">
            <a:solidFill>
              <a:srgbClr val="FFFF00"/>
            </a:solidFill>
          </a:ln>
          <a:effectLst/>
          <a:sp3d contourW="3175">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7638017705414"/>
          <c:y val="9.4426786101278609E-2"/>
          <c:w val="0.81072361982294583"/>
          <c:h val="0.73438139613282283"/>
        </c:manualLayout>
      </c:layout>
      <c:bar3DChart>
        <c:barDir val="col"/>
        <c:grouping val="clustered"/>
        <c:varyColors val="0"/>
        <c:ser>
          <c:idx val="0"/>
          <c:order val="0"/>
          <c:tx>
            <c:strRef>
              <c:f>Reports!$F$18</c:f>
              <c:strCache>
                <c:ptCount val="1"/>
                <c:pt idx="0">
                  <c:v>Total</c:v>
                </c:pt>
              </c:strCache>
            </c:strRef>
          </c:tx>
          <c:spPr>
            <a:solidFill>
              <a:schemeClr val="bg1"/>
            </a:solidFill>
            <a:ln w="3175">
              <a:solidFill>
                <a:srgbClr val="FFFF00"/>
              </a:solidFill>
            </a:ln>
            <a:effectLst/>
            <a:sp3d contourW="3175">
              <a:contourClr>
                <a:srgbClr val="FFFF00"/>
              </a:contourClr>
            </a:sp3d>
          </c:spPr>
          <c:invertIfNegative val="0"/>
          <c:cat>
            <c:strRef>
              <c:f>Reports!$E$19:$E$26</c:f>
              <c:strCache>
                <c:ptCount val="7"/>
                <c:pt idx="0">
                  <c:v>Admin</c:v>
                </c:pt>
                <c:pt idx="1">
                  <c:v>Finance</c:v>
                </c:pt>
                <c:pt idx="2">
                  <c:v>Hr</c:v>
                </c:pt>
                <c:pt idx="3">
                  <c:v>It</c:v>
                </c:pt>
                <c:pt idx="4">
                  <c:v>Marketing</c:v>
                </c:pt>
                <c:pt idx="5">
                  <c:v>Operations</c:v>
                </c:pt>
                <c:pt idx="6">
                  <c:v>Sales</c:v>
                </c:pt>
              </c:strCache>
            </c:strRef>
          </c:cat>
          <c:val>
            <c:numRef>
              <c:f>Reports!$F$19:$F$26</c:f>
              <c:numCache>
                <c:formatCode>"₹"\ #,##0.00</c:formatCode>
                <c:ptCount val="7"/>
                <c:pt idx="0">
                  <c:v>50141.572727272731</c:v>
                </c:pt>
                <c:pt idx="1">
                  <c:v>49090.443349753696</c:v>
                </c:pt>
                <c:pt idx="2">
                  <c:v>51366.908289241619</c:v>
                </c:pt>
                <c:pt idx="3">
                  <c:v>50511.072815533982</c:v>
                </c:pt>
                <c:pt idx="4">
                  <c:v>52838.956756756757</c:v>
                </c:pt>
                <c:pt idx="5">
                  <c:v>53650.81443298969</c:v>
                </c:pt>
                <c:pt idx="6">
                  <c:v>49701.88713910761</c:v>
                </c:pt>
              </c:numCache>
            </c:numRef>
          </c:val>
          <c:extLst>
            <c:ext xmlns:c16="http://schemas.microsoft.com/office/drawing/2014/chart" uri="{C3380CC4-5D6E-409C-BE32-E72D297353CC}">
              <c16:uniqueId val="{00000000-A0A2-42B2-8201-F6749760AE1C}"/>
            </c:ext>
          </c:extLst>
        </c:ser>
        <c:dLbls>
          <c:showLegendKey val="0"/>
          <c:showVal val="0"/>
          <c:showCatName val="0"/>
          <c:showSerName val="0"/>
          <c:showPercent val="0"/>
          <c:showBubbleSize val="0"/>
        </c:dLbls>
        <c:gapWidth val="150"/>
        <c:shape val="box"/>
        <c:axId val="636431871"/>
        <c:axId val="636431391"/>
        <c:axId val="0"/>
      </c:bar3DChart>
      <c:catAx>
        <c:axId val="636431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6431391"/>
        <c:crosses val="autoZero"/>
        <c:auto val="1"/>
        <c:lblAlgn val="ctr"/>
        <c:lblOffset val="100"/>
        <c:noMultiLvlLbl val="0"/>
      </c:catAx>
      <c:valAx>
        <c:axId val="6364313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643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sz="1050" b="1">
                <a:solidFill>
                  <a:schemeClr val="bg1"/>
                </a:solidFill>
              </a:defRPr>
            </a:pPr>
            <a:r>
              <a:rPr lang="en-IN" sz="1050" b="1" i="0" u="none" strike="noStrike" baseline="0">
                <a:solidFill>
                  <a:schemeClr val="bg1"/>
                </a:solidFill>
                <a:effectLst/>
                <a:latin typeface="Calibri" panose="020F0502020204030204"/>
                <a:ea typeface="Calibri" panose="020F0502020204030204" pitchFamily="34" charset="0"/>
                <a:cs typeface="Calibri" panose="020F0502020204030204" pitchFamily="34" charset="0"/>
              </a:rPr>
              <a:t>Employees by Department</a:t>
            </a:r>
            <a:r>
              <a:rPr lang="en-IN" sz="1050" b="1">
                <a:solidFill>
                  <a:schemeClr val="bg1"/>
                </a:solidFill>
              </a:rPr>
              <a:t> </a:t>
            </a:r>
            <a:endParaRPr lang="en-US" sz="1050" b="1" i="0" u="none" strike="noStrike" baseline="0">
              <a:solidFill>
                <a:schemeClr val="bg1"/>
              </a:solidFill>
              <a:latin typeface="Calibri" panose="020F0502020204030204"/>
            </a:endParaRPr>
          </a:p>
        </cx:rich>
      </cx:tx>
    </cx:title>
    <cx:plotArea>
      <cx:plotAreaRegion>
        <cx:series layoutId="treemap" uniqueId="{D88EEDA3-4E93-429C-8319-E42CFFC0DC32}">
          <cx:spPr>
            <a:ln w="6350">
              <a:solidFill>
                <a:srgbClr val="FFFF00"/>
              </a:solidFill>
            </a:ln>
          </cx:spPr>
          <cx:dataLabels pos="inEnd">
            <cx:txPr>
              <a:bodyPr spcFirstLastPara="1" vertOverflow="ellipsis" horzOverflow="overflow" wrap="square" lIns="0" tIns="0" rIns="0" bIns="0" anchor="ctr" anchorCtr="1"/>
              <a:lstStyle/>
              <a:p>
                <a:pPr algn="ctr" rtl="0">
                  <a:defRPr sz="800" b="1">
                    <a:solidFill>
                      <a:schemeClr val="bg1"/>
                    </a:solidFill>
                  </a:defRPr>
                </a:pPr>
                <a:endParaRPr lang="en-US" sz="800" b="1"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251460</xdr:colOff>
      <xdr:row>8</xdr:row>
      <xdr:rowOff>68580</xdr:rowOff>
    </xdr:from>
    <xdr:to>
      <xdr:col>9</xdr:col>
      <xdr:colOff>297180</xdr:colOff>
      <xdr:row>15</xdr:row>
      <xdr:rowOff>45720</xdr:rowOff>
    </xdr:to>
    <xdr:sp macro="" textlink="">
      <xdr:nvSpPr>
        <xdr:cNvPr id="31" name="Rectangle: Rounded Corners 30">
          <a:extLst>
            <a:ext uri="{FF2B5EF4-FFF2-40B4-BE49-F238E27FC236}">
              <a16:creationId xmlns:a16="http://schemas.microsoft.com/office/drawing/2014/main" id="{75FB8427-6E19-E886-729B-621DD8677489}"/>
            </a:ext>
          </a:extLst>
        </xdr:cNvPr>
        <xdr:cNvSpPr/>
      </xdr:nvSpPr>
      <xdr:spPr>
        <a:xfrm>
          <a:off x="3909060" y="1531620"/>
          <a:ext cx="1874520" cy="1257300"/>
        </a:xfrm>
        <a:prstGeom prst="roundRect">
          <a:avLst>
            <a:gd name="adj" fmla="val 498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8</xdr:row>
      <xdr:rowOff>76200</xdr:rowOff>
    </xdr:from>
    <xdr:to>
      <xdr:col>6</xdr:col>
      <xdr:colOff>182880</xdr:colOff>
      <xdr:row>26</xdr:row>
      <xdr:rowOff>137160</xdr:rowOff>
    </xdr:to>
    <xdr:sp macro="" textlink="">
      <xdr:nvSpPr>
        <xdr:cNvPr id="29" name="Rectangle: Rounded Corners 28">
          <a:extLst>
            <a:ext uri="{FF2B5EF4-FFF2-40B4-BE49-F238E27FC236}">
              <a16:creationId xmlns:a16="http://schemas.microsoft.com/office/drawing/2014/main" id="{7B8BD4D7-1D8D-BCB0-500A-9A6388376774}"/>
            </a:ext>
          </a:extLst>
        </xdr:cNvPr>
        <xdr:cNvSpPr/>
      </xdr:nvSpPr>
      <xdr:spPr>
        <a:xfrm>
          <a:off x="68580" y="1539240"/>
          <a:ext cx="3771900" cy="3352800"/>
        </a:xfrm>
        <a:prstGeom prst="roundRect">
          <a:avLst>
            <a:gd name="adj" fmla="val 1877"/>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121920</xdr:colOff>
      <xdr:row>4</xdr:row>
      <xdr:rowOff>167640</xdr:rowOff>
    </xdr:from>
    <xdr:to>
      <xdr:col>14</xdr:col>
      <xdr:colOff>6302</xdr:colOff>
      <xdr:row>15</xdr:row>
      <xdr:rowOff>38100</xdr:rowOff>
    </xdr:to>
    <xdr:sp macro="" textlink="">
      <xdr:nvSpPr>
        <xdr:cNvPr id="19" name="Rectangle: Rounded Corners 18">
          <a:extLst>
            <a:ext uri="{FF2B5EF4-FFF2-40B4-BE49-F238E27FC236}">
              <a16:creationId xmlns:a16="http://schemas.microsoft.com/office/drawing/2014/main" id="{C4897ED2-CF0B-1530-AEFD-89A0E1E4A801}"/>
            </a:ext>
          </a:extLst>
        </xdr:cNvPr>
        <xdr:cNvSpPr/>
      </xdr:nvSpPr>
      <xdr:spPr>
        <a:xfrm>
          <a:off x="7437120" y="899160"/>
          <a:ext cx="1103582" cy="1882140"/>
        </a:xfrm>
        <a:prstGeom prst="roundRect">
          <a:avLst>
            <a:gd name="adj" fmla="val 512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69898</xdr:colOff>
      <xdr:row>0</xdr:row>
      <xdr:rowOff>68580</xdr:rowOff>
    </xdr:from>
    <xdr:to>
      <xdr:col>17</xdr:col>
      <xdr:colOff>563880</xdr:colOff>
      <xdr:row>15</xdr:row>
      <xdr:rowOff>45720</xdr:rowOff>
    </xdr:to>
    <xdr:sp macro="" textlink="">
      <xdr:nvSpPr>
        <xdr:cNvPr id="8" name="Rectangle: Rounded Corners 7">
          <a:extLst>
            <a:ext uri="{FF2B5EF4-FFF2-40B4-BE49-F238E27FC236}">
              <a16:creationId xmlns:a16="http://schemas.microsoft.com/office/drawing/2014/main" id="{3C0970DA-852E-C582-4AEB-9E5995C1472A}"/>
            </a:ext>
          </a:extLst>
        </xdr:cNvPr>
        <xdr:cNvSpPr/>
      </xdr:nvSpPr>
      <xdr:spPr>
        <a:xfrm>
          <a:off x="9823498" y="68580"/>
          <a:ext cx="1103582" cy="2720340"/>
        </a:xfrm>
        <a:prstGeom prst="roundRect">
          <a:avLst>
            <a:gd name="adj" fmla="val 512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100625</xdr:colOff>
      <xdr:row>0</xdr:row>
      <xdr:rowOff>68580</xdr:rowOff>
    </xdr:from>
    <xdr:to>
      <xdr:col>15</xdr:col>
      <xdr:colOff>594607</xdr:colOff>
      <xdr:row>15</xdr:row>
      <xdr:rowOff>38100</xdr:rowOff>
    </xdr:to>
    <xdr:sp macro="" textlink="">
      <xdr:nvSpPr>
        <xdr:cNvPr id="12" name="Rectangle: Rounded Corners 11">
          <a:extLst>
            <a:ext uri="{FF2B5EF4-FFF2-40B4-BE49-F238E27FC236}">
              <a16:creationId xmlns:a16="http://schemas.microsoft.com/office/drawing/2014/main" id="{2E92F35C-DB97-85C4-EA7F-380AE16013AB}"/>
            </a:ext>
          </a:extLst>
        </xdr:cNvPr>
        <xdr:cNvSpPr/>
      </xdr:nvSpPr>
      <xdr:spPr>
        <a:xfrm>
          <a:off x="8635025" y="68580"/>
          <a:ext cx="1103582" cy="2712720"/>
        </a:xfrm>
        <a:prstGeom prst="roundRect">
          <a:avLst>
            <a:gd name="adj" fmla="val 512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121920</xdr:colOff>
      <xdr:row>0</xdr:row>
      <xdr:rowOff>68580</xdr:rowOff>
    </xdr:from>
    <xdr:to>
      <xdr:col>14</xdr:col>
      <xdr:colOff>6302</xdr:colOff>
      <xdr:row>4</xdr:row>
      <xdr:rowOff>99060</xdr:rowOff>
    </xdr:to>
    <xdr:sp macro="" textlink="">
      <xdr:nvSpPr>
        <xdr:cNvPr id="13" name="Rectangle: Rounded Corners 12">
          <a:extLst>
            <a:ext uri="{FF2B5EF4-FFF2-40B4-BE49-F238E27FC236}">
              <a16:creationId xmlns:a16="http://schemas.microsoft.com/office/drawing/2014/main" id="{3EF8C517-6004-8B85-83D3-3ABD6C8917A1}"/>
            </a:ext>
          </a:extLst>
        </xdr:cNvPr>
        <xdr:cNvSpPr/>
      </xdr:nvSpPr>
      <xdr:spPr>
        <a:xfrm>
          <a:off x="7437120" y="68580"/>
          <a:ext cx="1103582" cy="762000"/>
        </a:xfrm>
        <a:prstGeom prst="roundRect">
          <a:avLst>
            <a:gd name="adj" fmla="val 512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365760</xdr:colOff>
      <xdr:row>8</xdr:row>
      <xdr:rowOff>60960</xdr:rowOff>
    </xdr:from>
    <xdr:to>
      <xdr:col>12</xdr:col>
      <xdr:colOff>45720</xdr:colOff>
      <xdr:row>15</xdr:row>
      <xdr:rowOff>53340</xdr:rowOff>
    </xdr:to>
    <xdr:sp macro="" textlink="">
      <xdr:nvSpPr>
        <xdr:cNvPr id="9" name="Rectangle: Rounded Corners 8">
          <a:extLst>
            <a:ext uri="{FF2B5EF4-FFF2-40B4-BE49-F238E27FC236}">
              <a16:creationId xmlns:a16="http://schemas.microsoft.com/office/drawing/2014/main" id="{529A4F68-EAA1-0950-C925-4BF4F1473418}"/>
            </a:ext>
          </a:extLst>
        </xdr:cNvPr>
        <xdr:cNvSpPr/>
      </xdr:nvSpPr>
      <xdr:spPr>
        <a:xfrm>
          <a:off x="5852160" y="1524000"/>
          <a:ext cx="1508760" cy="1272540"/>
        </a:xfrm>
        <a:prstGeom prst="roundRect">
          <a:avLst>
            <a:gd name="adj" fmla="val 512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274320</xdr:colOff>
      <xdr:row>15</xdr:row>
      <xdr:rowOff>114300</xdr:rowOff>
    </xdr:from>
    <xdr:to>
      <xdr:col>12</xdr:col>
      <xdr:colOff>60960</xdr:colOff>
      <xdr:row>26</xdr:row>
      <xdr:rowOff>129540</xdr:rowOff>
    </xdr:to>
    <xdr:sp macro="" textlink="">
      <xdr:nvSpPr>
        <xdr:cNvPr id="10" name="Rectangle: Rounded Corners 9">
          <a:extLst>
            <a:ext uri="{FF2B5EF4-FFF2-40B4-BE49-F238E27FC236}">
              <a16:creationId xmlns:a16="http://schemas.microsoft.com/office/drawing/2014/main" id="{C4DB7A7D-C416-89A5-BB05-8310FF1803DC}"/>
            </a:ext>
          </a:extLst>
        </xdr:cNvPr>
        <xdr:cNvSpPr/>
      </xdr:nvSpPr>
      <xdr:spPr>
        <a:xfrm>
          <a:off x="3931920" y="2857500"/>
          <a:ext cx="3444240" cy="2026920"/>
        </a:xfrm>
        <a:prstGeom prst="roundRect">
          <a:avLst>
            <a:gd name="adj" fmla="val 345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137160</xdr:colOff>
      <xdr:row>15</xdr:row>
      <xdr:rowOff>99060</xdr:rowOff>
    </xdr:from>
    <xdr:to>
      <xdr:col>17</xdr:col>
      <xdr:colOff>556260</xdr:colOff>
      <xdr:row>26</xdr:row>
      <xdr:rowOff>129540</xdr:rowOff>
    </xdr:to>
    <xdr:sp macro="" textlink="">
      <xdr:nvSpPr>
        <xdr:cNvPr id="11" name="Rectangle: Rounded Corners 10">
          <a:extLst>
            <a:ext uri="{FF2B5EF4-FFF2-40B4-BE49-F238E27FC236}">
              <a16:creationId xmlns:a16="http://schemas.microsoft.com/office/drawing/2014/main" id="{06DD80E9-7CFB-45F4-F7E5-19C759C822CF}"/>
            </a:ext>
          </a:extLst>
        </xdr:cNvPr>
        <xdr:cNvSpPr/>
      </xdr:nvSpPr>
      <xdr:spPr>
        <a:xfrm>
          <a:off x="7452360" y="2842260"/>
          <a:ext cx="3467100" cy="2042160"/>
        </a:xfrm>
        <a:prstGeom prst="roundRect">
          <a:avLst>
            <a:gd name="adj" fmla="val 300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60960</xdr:rowOff>
    </xdr:from>
    <xdr:to>
      <xdr:col>12</xdr:col>
      <xdr:colOff>38100</xdr:colOff>
      <xdr:row>3</xdr:row>
      <xdr:rowOff>60960</xdr:rowOff>
    </xdr:to>
    <xdr:sp macro="" textlink="">
      <xdr:nvSpPr>
        <xdr:cNvPr id="2" name="Rectangle: Rounded Corners 1">
          <a:extLst>
            <a:ext uri="{FF2B5EF4-FFF2-40B4-BE49-F238E27FC236}">
              <a16:creationId xmlns:a16="http://schemas.microsoft.com/office/drawing/2014/main" id="{C1BBDCBD-5468-AEA3-DC2F-B44D441B1829}"/>
            </a:ext>
          </a:extLst>
        </xdr:cNvPr>
        <xdr:cNvSpPr/>
      </xdr:nvSpPr>
      <xdr:spPr>
        <a:xfrm>
          <a:off x="68580" y="60960"/>
          <a:ext cx="7284720" cy="548640"/>
        </a:xfrm>
        <a:prstGeom prst="roundRect">
          <a:avLst>
            <a:gd name="adj" fmla="val 972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12</xdr:col>
      <xdr:colOff>175260</xdr:colOff>
      <xdr:row>5</xdr:row>
      <xdr:rowOff>60960</xdr:rowOff>
    </xdr:from>
    <xdr:to>
      <xdr:col>13</xdr:col>
      <xdr:colOff>563880</xdr:colOff>
      <xdr:row>14</xdr:row>
      <xdr:rowOff>129540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162A9A7F-EC08-4314-B559-3D4CC5CACEA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490460" y="975360"/>
              <a:ext cx="99822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205740</xdr:colOff>
      <xdr:row>0</xdr:row>
      <xdr:rowOff>144780</xdr:rowOff>
    </xdr:from>
    <xdr:to>
      <xdr:col>13</xdr:col>
      <xdr:colOff>533400</xdr:colOff>
      <xdr:row>4</xdr:row>
      <xdr:rowOff>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AC21AF8-6AF9-4806-876E-AE8FACA607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20940" y="144780"/>
              <a:ext cx="93726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0</xdr:row>
      <xdr:rowOff>160019</xdr:rowOff>
    </xdr:from>
    <xdr:to>
      <xdr:col>15</xdr:col>
      <xdr:colOff>541020</xdr:colOff>
      <xdr:row>14</xdr:row>
      <xdr:rowOff>137160</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39C3F10A-8069-48EF-B5FB-05DE3F9E5D3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686800" y="160019"/>
              <a:ext cx="998220" cy="2537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167640</xdr:colOff>
      <xdr:row>1</xdr:row>
      <xdr:rowOff>0</xdr:rowOff>
    </xdr:from>
    <xdr:to>
      <xdr:col>17</xdr:col>
      <xdr:colOff>480060</xdr:colOff>
      <xdr:row>14</xdr:row>
      <xdr:rowOff>106680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38A3AB64-D493-4865-B78F-CD89DB9B2F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21240" y="182880"/>
              <a:ext cx="92202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137160</xdr:colOff>
      <xdr:row>15</xdr:row>
      <xdr:rowOff>106680</xdr:rowOff>
    </xdr:from>
    <xdr:to>
      <xdr:col>17</xdr:col>
      <xdr:colOff>556260</xdr:colOff>
      <xdr:row>26</xdr:row>
      <xdr:rowOff>76200</xdr:rowOff>
    </xdr:to>
    <xdr:graphicFrame macro="">
      <xdr:nvGraphicFramePr>
        <xdr:cNvPr id="20" name="Chart 19">
          <a:extLst>
            <a:ext uri="{FF2B5EF4-FFF2-40B4-BE49-F238E27FC236}">
              <a16:creationId xmlns:a16="http://schemas.microsoft.com/office/drawing/2014/main" id="{571F9D05-DCAB-4272-B704-FCDB8BDB6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3</xdr:row>
      <xdr:rowOff>121920</xdr:rowOff>
    </xdr:from>
    <xdr:to>
      <xdr:col>3</xdr:col>
      <xdr:colOff>15306</xdr:colOff>
      <xdr:row>8</xdr:row>
      <xdr:rowOff>0</xdr:rowOff>
    </xdr:to>
    <xdr:sp macro="" textlink="">
      <xdr:nvSpPr>
        <xdr:cNvPr id="3" name="Rectangle: Rounded Corners 2">
          <a:extLst>
            <a:ext uri="{FF2B5EF4-FFF2-40B4-BE49-F238E27FC236}">
              <a16:creationId xmlns:a16="http://schemas.microsoft.com/office/drawing/2014/main" id="{1D8EA0CF-7BF9-C68B-325B-17585E1DC919}"/>
            </a:ext>
          </a:extLst>
        </xdr:cNvPr>
        <xdr:cNvSpPr/>
      </xdr:nvSpPr>
      <xdr:spPr>
        <a:xfrm>
          <a:off x="68580" y="670560"/>
          <a:ext cx="1775526" cy="792480"/>
        </a:xfrm>
        <a:prstGeom prst="roundRect">
          <a:avLst>
            <a:gd name="adj" fmla="val 801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78718</xdr:colOff>
      <xdr:row>3</xdr:row>
      <xdr:rowOff>121920</xdr:rowOff>
    </xdr:from>
    <xdr:to>
      <xdr:col>6</xdr:col>
      <xdr:colOff>25444</xdr:colOff>
      <xdr:row>8</xdr:row>
      <xdr:rowOff>0</xdr:rowOff>
    </xdr:to>
    <xdr:sp macro="" textlink="">
      <xdr:nvSpPr>
        <xdr:cNvPr id="21" name="Rectangle: Rounded Corners 20">
          <a:extLst>
            <a:ext uri="{FF2B5EF4-FFF2-40B4-BE49-F238E27FC236}">
              <a16:creationId xmlns:a16="http://schemas.microsoft.com/office/drawing/2014/main" id="{F914D95D-9076-E5CF-593C-6393FDF7CD7C}"/>
            </a:ext>
          </a:extLst>
        </xdr:cNvPr>
        <xdr:cNvSpPr/>
      </xdr:nvSpPr>
      <xdr:spPr>
        <a:xfrm>
          <a:off x="1907518" y="670560"/>
          <a:ext cx="1775526" cy="792480"/>
        </a:xfrm>
        <a:prstGeom prst="roundRect">
          <a:avLst>
            <a:gd name="adj" fmla="val 801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88856</xdr:colOff>
      <xdr:row>3</xdr:row>
      <xdr:rowOff>121920</xdr:rowOff>
    </xdr:from>
    <xdr:to>
      <xdr:col>9</xdr:col>
      <xdr:colOff>35582</xdr:colOff>
      <xdr:row>8</xdr:row>
      <xdr:rowOff>0</xdr:rowOff>
    </xdr:to>
    <xdr:sp macro="" textlink="">
      <xdr:nvSpPr>
        <xdr:cNvPr id="22" name="Rectangle: Rounded Corners 21">
          <a:extLst>
            <a:ext uri="{FF2B5EF4-FFF2-40B4-BE49-F238E27FC236}">
              <a16:creationId xmlns:a16="http://schemas.microsoft.com/office/drawing/2014/main" id="{2728B5A1-83DC-9142-9E29-F126D1BFA385}"/>
            </a:ext>
          </a:extLst>
        </xdr:cNvPr>
        <xdr:cNvSpPr/>
      </xdr:nvSpPr>
      <xdr:spPr>
        <a:xfrm>
          <a:off x="3746456" y="670560"/>
          <a:ext cx="1775526" cy="792480"/>
        </a:xfrm>
        <a:prstGeom prst="roundRect">
          <a:avLst>
            <a:gd name="adj" fmla="val 801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98994</xdr:colOff>
      <xdr:row>3</xdr:row>
      <xdr:rowOff>121920</xdr:rowOff>
    </xdr:from>
    <xdr:to>
      <xdr:col>12</xdr:col>
      <xdr:colOff>45720</xdr:colOff>
      <xdr:row>8</xdr:row>
      <xdr:rowOff>0</xdr:rowOff>
    </xdr:to>
    <xdr:sp macro="" textlink="">
      <xdr:nvSpPr>
        <xdr:cNvPr id="23" name="Rectangle: Rounded Corners 22">
          <a:extLst>
            <a:ext uri="{FF2B5EF4-FFF2-40B4-BE49-F238E27FC236}">
              <a16:creationId xmlns:a16="http://schemas.microsoft.com/office/drawing/2014/main" id="{EE3708B3-A9D7-4237-8030-FB32C812CAE4}"/>
            </a:ext>
          </a:extLst>
        </xdr:cNvPr>
        <xdr:cNvSpPr/>
      </xdr:nvSpPr>
      <xdr:spPr>
        <a:xfrm>
          <a:off x="5585394" y="670560"/>
          <a:ext cx="1775526" cy="792480"/>
        </a:xfrm>
        <a:prstGeom prst="roundRect">
          <a:avLst>
            <a:gd name="adj" fmla="val 801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320040</xdr:colOff>
      <xdr:row>15</xdr:row>
      <xdr:rowOff>137160</xdr:rowOff>
    </xdr:from>
    <xdr:to>
      <xdr:col>12</xdr:col>
      <xdr:colOff>30480</xdr:colOff>
      <xdr:row>26</xdr:row>
      <xdr:rowOff>129540</xdr:rowOff>
    </xdr:to>
    <xdr:graphicFrame macro="">
      <xdr:nvGraphicFramePr>
        <xdr:cNvPr id="25" name="Chart 24">
          <a:extLst>
            <a:ext uri="{FF2B5EF4-FFF2-40B4-BE49-F238E27FC236}">
              <a16:creationId xmlns:a16="http://schemas.microsoft.com/office/drawing/2014/main" id="{B02A84E7-D9C7-4930-8467-057207ECA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106680</xdr:colOff>
      <xdr:row>8</xdr:row>
      <xdr:rowOff>68580</xdr:rowOff>
    </xdr:from>
    <xdr:to>
      <xdr:col>12</xdr:col>
      <xdr:colOff>15240</xdr:colOff>
      <xdr:row>15</xdr:row>
      <xdr:rowOff>38100</xdr:rowOff>
    </xdr:to>
    <xdr:graphicFrame macro="">
      <xdr:nvGraphicFramePr>
        <xdr:cNvPr id="26" name="Chart 25">
          <a:extLst>
            <a:ext uri="{FF2B5EF4-FFF2-40B4-BE49-F238E27FC236}">
              <a16:creationId xmlns:a16="http://schemas.microsoft.com/office/drawing/2014/main" id="{A422603C-B0FD-43C7-A456-DFAACEB4D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8</xdr:row>
      <xdr:rowOff>60960</xdr:rowOff>
    </xdr:from>
    <xdr:to>
      <xdr:col>6</xdr:col>
      <xdr:colOff>152400</xdr:colOff>
      <xdr:row>26</xdr:row>
      <xdr:rowOff>91440</xdr:rowOff>
    </xdr:to>
    <xdr:graphicFrame macro="">
      <xdr:nvGraphicFramePr>
        <xdr:cNvPr id="28" name="Chart 27">
          <a:extLst>
            <a:ext uri="{FF2B5EF4-FFF2-40B4-BE49-F238E27FC236}">
              <a16:creationId xmlns:a16="http://schemas.microsoft.com/office/drawing/2014/main" id="{558E91F5-2A17-492F-BF5C-AE9257372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215878</xdr:colOff>
      <xdr:row>8</xdr:row>
      <xdr:rowOff>38100</xdr:rowOff>
    </xdr:from>
    <xdr:to>
      <xdr:col>9</xdr:col>
      <xdr:colOff>335280</xdr:colOff>
      <xdr:row>15</xdr:row>
      <xdr:rowOff>83820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9BE854C-43F1-4A7B-A342-E9F404EA51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73478" y="1501140"/>
              <a:ext cx="1948202" cy="1325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83820</xdr:colOff>
      <xdr:row>3</xdr:row>
      <xdr:rowOff>144780</xdr:rowOff>
    </xdr:from>
    <xdr:to>
      <xdr:col>2</xdr:col>
      <xdr:colOff>601980</xdr:colOff>
      <xdr:row>4</xdr:row>
      <xdr:rowOff>160020</xdr:rowOff>
    </xdr:to>
    <xdr:sp macro="" textlink="">
      <xdr:nvSpPr>
        <xdr:cNvPr id="32" name="TextBox 31">
          <a:extLst>
            <a:ext uri="{FF2B5EF4-FFF2-40B4-BE49-F238E27FC236}">
              <a16:creationId xmlns:a16="http://schemas.microsoft.com/office/drawing/2014/main" id="{430877E8-2D37-846F-4A55-65C69DB3FE5D}"/>
            </a:ext>
          </a:extLst>
        </xdr:cNvPr>
        <xdr:cNvSpPr txBox="1"/>
      </xdr:nvSpPr>
      <xdr:spPr>
        <a:xfrm>
          <a:off x="83820" y="693420"/>
          <a:ext cx="17373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Employees</a:t>
          </a:r>
        </a:p>
      </xdr:txBody>
    </xdr:sp>
    <xdr:clientData/>
  </xdr:twoCellAnchor>
  <xdr:twoCellAnchor>
    <xdr:from>
      <xdr:col>3</xdr:col>
      <xdr:colOff>91440</xdr:colOff>
      <xdr:row>3</xdr:row>
      <xdr:rowOff>144780</xdr:rowOff>
    </xdr:from>
    <xdr:to>
      <xdr:col>6</xdr:col>
      <xdr:colOff>0</xdr:colOff>
      <xdr:row>4</xdr:row>
      <xdr:rowOff>160020</xdr:rowOff>
    </xdr:to>
    <xdr:sp macro="" textlink="">
      <xdr:nvSpPr>
        <xdr:cNvPr id="33" name="TextBox 32">
          <a:extLst>
            <a:ext uri="{FF2B5EF4-FFF2-40B4-BE49-F238E27FC236}">
              <a16:creationId xmlns:a16="http://schemas.microsoft.com/office/drawing/2014/main" id="{A7B6ACA5-2F87-8AE9-BEA3-07AC1E482D4D}"/>
            </a:ext>
          </a:extLst>
        </xdr:cNvPr>
        <xdr:cNvSpPr txBox="1"/>
      </xdr:nvSpPr>
      <xdr:spPr>
        <a:xfrm>
          <a:off x="1920240" y="693420"/>
          <a:ext cx="17373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Active</a:t>
          </a:r>
          <a:r>
            <a:rPr lang="en-IN" sz="1100" b="1" baseline="0">
              <a:solidFill>
                <a:schemeClr val="bg1"/>
              </a:solidFill>
            </a:rPr>
            <a:t> </a:t>
          </a:r>
          <a:r>
            <a:rPr lang="en-IN" sz="1100" b="1">
              <a:solidFill>
                <a:schemeClr val="bg1"/>
              </a:solidFill>
            </a:rPr>
            <a:t>Employees</a:t>
          </a:r>
        </a:p>
      </xdr:txBody>
    </xdr:sp>
    <xdr:clientData/>
  </xdr:twoCellAnchor>
  <xdr:twoCellAnchor>
    <xdr:from>
      <xdr:col>6</xdr:col>
      <xdr:colOff>99060</xdr:colOff>
      <xdr:row>3</xdr:row>
      <xdr:rowOff>144780</xdr:rowOff>
    </xdr:from>
    <xdr:to>
      <xdr:col>9</xdr:col>
      <xdr:colOff>7620</xdr:colOff>
      <xdr:row>4</xdr:row>
      <xdr:rowOff>160020</xdr:rowOff>
    </xdr:to>
    <xdr:sp macro="" textlink="">
      <xdr:nvSpPr>
        <xdr:cNvPr id="34" name="TextBox 33">
          <a:extLst>
            <a:ext uri="{FF2B5EF4-FFF2-40B4-BE49-F238E27FC236}">
              <a16:creationId xmlns:a16="http://schemas.microsoft.com/office/drawing/2014/main" id="{273B32EC-D55B-9973-8448-287C25FA4931}"/>
            </a:ext>
          </a:extLst>
        </xdr:cNvPr>
        <xdr:cNvSpPr txBox="1"/>
      </xdr:nvSpPr>
      <xdr:spPr>
        <a:xfrm>
          <a:off x="3756660" y="693420"/>
          <a:ext cx="17373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Attrition Rate</a:t>
          </a:r>
        </a:p>
      </xdr:txBody>
    </xdr:sp>
    <xdr:clientData/>
  </xdr:twoCellAnchor>
  <xdr:twoCellAnchor>
    <xdr:from>
      <xdr:col>9</xdr:col>
      <xdr:colOff>106680</xdr:colOff>
      <xdr:row>3</xdr:row>
      <xdr:rowOff>144780</xdr:rowOff>
    </xdr:from>
    <xdr:to>
      <xdr:col>12</xdr:col>
      <xdr:colOff>15240</xdr:colOff>
      <xdr:row>4</xdr:row>
      <xdr:rowOff>160020</xdr:rowOff>
    </xdr:to>
    <xdr:sp macro="" textlink="">
      <xdr:nvSpPr>
        <xdr:cNvPr id="35" name="TextBox 34">
          <a:extLst>
            <a:ext uri="{FF2B5EF4-FFF2-40B4-BE49-F238E27FC236}">
              <a16:creationId xmlns:a16="http://schemas.microsoft.com/office/drawing/2014/main" id="{3BAB65D6-1B70-0111-DED5-60311CCFA8D6}"/>
            </a:ext>
          </a:extLst>
        </xdr:cNvPr>
        <xdr:cNvSpPr txBox="1"/>
      </xdr:nvSpPr>
      <xdr:spPr>
        <a:xfrm>
          <a:off x="5593080" y="693420"/>
          <a:ext cx="17373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Average Salary</a:t>
          </a:r>
        </a:p>
      </xdr:txBody>
    </xdr:sp>
    <xdr:clientData/>
  </xdr:twoCellAnchor>
  <xdr:twoCellAnchor>
    <xdr:from>
      <xdr:col>0</xdr:col>
      <xdr:colOff>91440</xdr:colOff>
      <xdr:row>5</xdr:row>
      <xdr:rowOff>121920</xdr:rowOff>
    </xdr:from>
    <xdr:to>
      <xdr:col>3</xdr:col>
      <xdr:colOff>0</xdr:colOff>
      <xdr:row>7</xdr:row>
      <xdr:rowOff>114300</xdr:rowOff>
    </xdr:to>
    <xdr:sp macro="" textlink="Reports!A2">
      <xdr:nvSpPr>
        <xdr:cNvPr id="37" name="TextBox 36">
          <a:extLst>
            <a:ext uri="{FF2B5EF4-FFF2-40B4-BE49-F238E27FC236}">
              <a16:creationId xmlns:a16="http://schemas.microsoft.com/office/drawing/2014/main" id="{A7B93E69-A91E-4EA4-491C-86C82D13B6C7}"/>
            </a:ext>
          </a:extLst>
        </xdr:cNvPr>
        <xdr:cNvSpPr txBox="1"/>
      </xdr:nvSpPr>
      <xdr:spPr>
        <a:xfrm>
          <a:off x="91440" y="1036320"/>
          <a:ext cx="17373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50EB66-6F23-4FD9-B586-8433F87CA813}" type="TxLink">
            <a:rPr lang="en-US" sz="2400" b="1" i="0" u="none" strike="noStrike">
              <a:solidFill>
                <a:schemeClr val="bg1"/>
              </a:solidFill>
              <a:latin typeface="Calibri"/>
              <a:ea typeface="Calibri"/>
              <a:cs typeface="Calibri"/>
            </a:rPr>
            <a:pPr algn="ctr"/>
            <a:t>1956</a:t>
          </a:fld>
          <a:endParaRPr lang="en-US" sz="2400" b="1">
            <a:solidFill>
              <a:schemeClr val="bg1"/>
            </a:solidFill>
          </a:endParaRPr>
        </a:p>
      </xdr:txBody>
    </xdr:sp>
    <xdr:clientData/>
  </xdr:twoCellAnchor>
  <xdr:twoCellAnchor>
    <xdr:from>
      <xdr:col>3</xdr:col>
      <xdr:colOff>91440</xdr:colOff>
      <xdr:row>5</xdr:row>
      <xdr:rowOff>121920</xdr:rowOff>
    </xdr:from>
    <xdr:to>
      <xdr:col>6</xdr:col>
      <xdr:colOff>0</xdr:colOff>
      <xdr:row>7</xdr:row>
      <xdr:rowOff>114300</xdr:rowOff>
    </xdr:to>
    <xdr:sp macro="" textlink="Reports!C2">
      <xdr:nvSpPr>
        <xdr:cNvPr id="43" name="TextBox 42">
          <a:extLst>
            <a:ext uri="{FF2B5EF4-FFF2-40B4-BE49-F238E27FC236}">
              <a16:creationId xmlns:a16="http://schemas.microsoft.com/office/drawing/2014/main" id="{01A8D3DA-B6DE-1E93-D04A-D08F00259FFF}"/>
            </a:ext>
          </a:extLst>
        </xdr:cNvPr>
        <xdr:cNvSpPr txBox="1"/>
      </xdr:nvSpPr>
      <xdr:spPr>
        <a:xfrm>
          <a:off x="1920240" y="1036320"/>
          <a:ext cx="17373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68BEE8-4796-4263-99C3-A6316FD315D4}" type="TxLink">
            <a:rPr lang="en-US" sz="2400" b="1" i="0" u="none" strike="noStrike">
              <a:solidFill>
                <a:schemeClr val="bg1"/>
              </a:solidFill>
              <a:latin typeface="Calibri"/>
              <a:ea typeface="Calibri"/>
              <a:cs typeface="Calibri"/>
            </a:rPr>
            <a:pPr marL="0" indent="0" algn="ctr"/>
            <a:t>983</a:t>
          </a:fld>
          <a:endParaRPr lang="en-US" sz="2400" b="1" i="0" u="none" strike="noStrike">
            <a:solidFill>
              <a:schemeClr val="bg1"/>
            </a:solidFill>
            <a:latin typeface="Calibri"/>
            <a:ea typeface="Calibri"/>
            <a:cs typeface="Calibri"/>
          </a:endParaRPr>
        </a:p>
      </xdr:txBody>
    </xdr:sp>
    <xdr:clientData/>
  </xdr:twoCellAnchor>
  <xdr:twoCellAnchor>
    <xdr:from>
      <xdr:col>6</xdr:col>
      <xdr:colOff>91440</xdr:colOff>
      <xdr:row>5</xdr:row>
      <xdr:rowOff>121920</xdr:rowOff>
    </xdr:from>
    <xdr:to>
      <xdr:col>9</xdr:col>
      <xdr:colOff>0</xdr:colOff>
      <xdr:row>7</xdr:row>
      <xdr:rowOff>114300</xdr:rowOff>
    </xdr:to>
    <xdr:sp macro="" textlink="Reports!E2">
      <xdr:nvSpPr>
        <xdr:cNvPr id="44" name="TextBox 43">
          <a:extLst>
            <a:ext uri="{FF2B5EF4-FFF2-40B4-BE49-F238E27FC236}">
              <a16:creationId xmlns:a16="http://schemas.microsoft.com/office/drawing/2014/main" id="{F50034E3-DC2E-6F8B-4DE9-7DDED044608F}"/>
            </a:ext>
          </a:extLst>
        </xdr:cNvPr>
        <xdr:cNvSpPr txBox="1"/>
      </xdr:nvSpPr>
      <xdr:spPr>
        <a:xfrm>
          <a:off x="3749040" y="1036320"/>
          <a:ext cx="17373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EAE509-B786-464D-AE4D-6E9BBFE98F84}" type="TxLink">
            <a:rPr lang="en-US" sz="2400" b="1" i="0" u="none" strike="noStrike">
              <a:solidFill>
                <a:schemeClr val="bg1"/>
              </a:solidFill>
              <a:latin typeface="Calibri"/>
              <a:ea typeface="Calibri"/>
              <a:cs typeface="Calibri"/>
            </a:rPr>
            <a:pPr marL="0" indent="0" algn="ctr"/>
            <a:t>49.74%</a:t>
          </a:fld>
          <a:endParaRPr lang="en-US" sz="2400" b="1" i="0" u="none" strike="noStrike">
            <a:solidFill>
              <a:schemeClr val="bg1"/>
            </a:solidFill>
            <a:latin typeface="Calibri"/>
            <a:ea typeface="Calibri"/>
            <a:cs typeface="Calibri"/>
          </a:endParaRPr>
        </a:p>
      </xdr:txBody>
    </xdr:sp>
    <xdr:clientData/>
  </xdr:twoCellAnchor>
  <xdr:twoCellAnchor>
    <xdr:from>
      <xdr:col>9</xdr:col>
      <xdr:colOff>91440</xdr:colOff>
      <xdr:row>5</xdr:row>
      <xdr:rowOff>121920</xdr:rowOff>
    </xdr:from>
    <xdr:to>
      <xdr:col>12</xdr:col>
      <xdr:colOff>0</xdr:colOff>
      <xdr:row>7</xdr:row>
      <xdr:rowOff>114300</xdr:rowOff>
    </xdr:to>
    <xdr:sp macro="" textlink="Reports!G2">
      <xdr:nvSpPr>
        <xdr:cNvPr id="45" name="TextBox 44">
          <a:extLst>
            <a:ext uri="{FF2B5EF4-FFF2-40B4-BE49-F238E27FC236}">
              <a16:creationId xmlns:a16="http://schemas.microsoft.com/office/drawing/2014/main" id="{B52E3CF4-0138-6BB1-CA8F-F0C7A81AC98A}"/>
            </a:ext>
          </a:extLst>
        </xdr:cNvPr>
        <xdr:cNvSpPr txBox="1"/>
      </xdr:nvSpPr>
      <xdr:spPr>
        <a:xfrm>
          <a:off x="5577840" y="1036320"/>
          <a:ext cx="17373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03D503-6CB2-497B-AA0A-281B69B95CA5}" type="TxLink">
            <a:rPr lang="en-US" sz="2400" b="1" i="0" u="none" strike="noStrike">
              <a:solidFill>
                <a:schemeClr val="bg1"/>
              </a:solidFill>
              <a:latin typeface="Calibri"/>
              <a:ea typeface="Calibri"/>
              <a:cs typeface="Calibri"/>
            </a:rPr>
            <a:pPr marL="0" indent="0" algn="ctr"/>
            <a:t>50944</a:t>
          </a:fld>
          <a:endParaRPr lang="en-US" sz="2400" b="1" i="0" u="none" strike="noStrike">
            <a:solidFill>
              <a:schemeClr val="bg1"/>
            </a:solidFill>
            <a:latin typeface="Calibri"/>
            <a:ea typeface="Calibri"/>
            <a:cs typeface="Calibri"/>
          </a:endParaRPr>
        </a:p>
      </xdr:txBody>
    </xdr:sp>
    <xdr:clientData/>
  </xdr:twoCellAnchor>
  <xdr:twoCellAnchor>
    <xdr:from>
      <xdr:col>0</xdr:col>
      <xdr:colOff>83820</xdr:colOff>
      <xdr:row>0</xdr:row>
      <xdr:rowOff>167640</xdr:rowOff>
    </xdr:from>
    <xdr:to>
      <xdr:col>12</xdr:col>
      <xdr:colOff>30480</xdr:colOff>
      <xdr:row>2</xdr:row>
      <xdr:rowOff>152400</xdr:rowOff>
    </xdr:to>
    <xdr:sp macro="" textlink="">
      <xdr:nvSpPr>
        <xdr:cNvPr id="46" name="TextBox 45">
          <a:extLst>
            <a:ext uri="{FF2B5EF4-FFF2-40B4-BE49-F238E27FC236}">
              <a16:creationId xmlns:a16="http://schemas.microsoft.com/office/drawing/2014/main" id="{C0CFBA5D-BEC0-A8FB-1065-A4FB3BFC6ADB}"/>
            </a:ext>
          </a:extLst>
        </xdr:cNvPr>
        <xdr:cNvSpPr txBox="1"/>
      </xdr:nvSpPr>
      <xdr:spPr>
        <a:xfrm>
          <a:off x="83820" y="167640"/>
          <a:ext cx="72618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HR Analytics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815428587965" backgroundQuery="1" createdVersion="8" refreshedVersion="8" minRefreshableVersion="3" recordCount="0" supportSubquery="1" supportAdvancedDrill="1" xr:uid="{188ED287-9BD4-4396-91AB-BD6207889D42}">
  <cacheSource type="external" connectionId="2"/>
  <cacheFields count="1">
    <cacheField name="[Measures].[Active Emp]" caption="Active Emp" numFmtId="0" hierarchy="14" level="32767"/>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0" memberValueDatatype="130" unbalanced="0"/>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0"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0"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0"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oneField="1">
      <fieldsUsage count="1">
        <fieldUsage x="0"/>
      </fieldsUsage>
    </cacheHierarchy>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815427199072" backgroundQuery="1" createdVersion="8" refreshedVersion="8" minRefreshableVersion="3" recordCount="0" supportSubquery="1" supportAdvancedDrill="1" xr:uid="{1E9F57B7-6CC6-4C4D-A30C-844E23B5EB49}">
  <cacheSource type="external" connectionId="2"/>
  <cacheFields count="1">
    <cacheField name="[Measures].[Total Employee]" caption="Total Employee" numFmtId="0" hierarchy="13" level="32767"/>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0" memberValueDatatype="130" unbalanced="0"/>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0"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0"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0" memberValueDatatype="20" unbalanced="0"/>
    <cacheHierarchy uniqueName="[Measures].[Total Employee]" caption="Total Employee" measure="1" displayFolder="" measureGroup="HR_Analytics_Messy_Dataset_2000_Rows" count="0" oneField="1">
      <fieldsUsage count="1">
        <fieldUsage x="0"/>
      </fieldsUsage>
    </cacheHierarchy>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815431597221" backgroundQuery="1" createdVersion="8" refreshedVersion="8" minRefreshableVersion="3" recordCount="0" supportSubquery="1" supportAdvancedDrill="1" xr:uid="{28573DB0-5C83-437B-95DB-B06104A0B469}">
  <cacheSource type="external" connectionId="2"/>
  <cacheFields count="1">
    <cacheField name="[Measures].[Average Salary]" caption="Average Salary" numFmtId="0" hierarchy="17" level="32767"/>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0" memberValueDatatype="130" unbalanced="0"/>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0"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0"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0"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oneField="1">
      <fieldsUsage count="1">
        <fieldUsage x="0"/>
      </fieldsUsage>
    </cacheHierarchy>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81542997685" backgroundQuery="1" createdVersion="8" refreshedVersion="8" minRefreshableVersion="3" recordCount="0" supportSubquery="1" supportAdvancedDrill="1" xr:uid="{16047259-84E3-4DF9-84C7-C43308E3BBC2}">
  <cacheSource type="external" connectionId="2"/>
  <cacheFields count="1">
    <cacheField name="[Measures].[Attrition Rate]" caption="Attrition Rate" numFmtId="0" hierarchy="16" level="32767"/>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0" memberValueDatatype="130" unbalanced="0"/>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0"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0"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0"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oneField="1">
      <fieldsUsage count="1">
        <fieldUsage x="0"/>
      </fieldsUsage>
    </cacheHierarchy>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46095370367" backgroundQuery="1" createdVersion="8" refreshedVersion="8" minRefreshableVersion="3" recordCount="0" supportSubquery="1" supportAdvancedDrill="1" xr:uid="{207467B5-C02F-43E7-8240-1E5FC7687E87}">
  <cacheSource type="external" connectionId="2"/>
  <cacheFields count="2">
    <cacheField name="[HR_Analytics_Messy_Dataset_2000_Rows].[Department].[Department]" caption="Department" numFmtId="0" hierarchy="2" level="1">
      <sharedItems count="7">
        <s v="Admin"/>
        <s v="Finance"/>
        <s v="Hr"/>
        <s v="It"/>
        <s v="Marketing"/>
        <s v="Operations"/>
        <s v="Sales"/>
      </sharedItems>
    </cacheField>
    <cacheField name="[Measures].[Average of Salary]" caption="Average of Salary" numFmtId="0" hierarchy="23" level="32767"/>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fieldsUsage count="2">
        <fieldUsage x="-1"/>
        <fieldUsage x="0"/>
      </fieldsUsage>
    </cacheHierarchy>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46095949075" backgroundQuery="1" createdVersion="8" refreshedVersion="8" minRefreshableVersion="3" recordCount="0" supportSubquery="1" supportAdvancedDrill="1" xr:uid="{9F60B4FC-0844-468B-A0B0-8841A4C823EE}">
  <cacheSource type="external" connectionId="2"/>
  <cacheFields count="3">
    <cacheField name="[HR_Analytics_Messy_Dataset_2000_Rows].[Month Name].[Month Name]" caption="Month Name" numFmtId="0" hierarchy="11" level="1">
      <sharedItems count="12">
        <s v="April"/>
        <s v="August"/>
        <s v="December"/>
        <s v="February"/>
        <s v="January"/>
        <s v="July"/>
        <s v="June"/>
        <s v="March"/>
        <s v="May"/>
        <s v="November"/>
        <s v="October"/>
        <s v="September"/>
      </sharedItems>
    </cacheField>
    <cacheField name="[Measures].[Distinct Count of Employee ID]" caption="Distinct Count of Employee ID" numFmtId="0" hierarchy="24" level="32767"/>
    <cacheField name="[HR_Analytics_Messy_Dataset_2000_Rows].[Department].[Department]" caption="Department" numFmtId="0" hierarchy="2" level="1">
      <sharedItems containsSemiMixedTypes="0" containsNonDate="0" containsString="0"/>
    </cacheField>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fieldsUsage count="2">
        <fieldUsage x="-1"/>
        <fieldUsage x="2"/>
      </fieldsUsage>
    </cacheHierarchy>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2" memberValueDatatype="130" unbalanced="0">
      <fieldsUsage count="2">
        <fieldUsage x="-1"/>
        <fieldUsage x="0"/>
      </fieldsUsage>
    </cacheHierarchy>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46096527776" backgroundQuery="1" createdVersion="8" refreshedVersion="8" minRefreshableVersion="3" recordCount="0" supportSubquery="1" supportAdvancedDrill="1" xr:uid="{8A4BE9B2-E32B-4533-B419-5E181C3F546D}">
  <cacheSource type="external" connectionId="2"/>
  <cacheFields count="2">
    <cacheField name="[Measures].[Total Employee]" caption="Total Employee" numFmtId="0" hierarchy="13" level="32767"/>
    <cacheField name="[HR_Analytics_Messy_Dataset_2000_Rows].[Department].[Department]" caption="Department" numFmtId="0" hierarchy="2" level="1">
      <sharedItems count="7">
        <s v="Admin"/>
        <s v="Finance"/>
        <s v="Hr"/>
        <s v="It"/>
        <s v="Marketing"/>
        <s v="Operations"/>
        <s v="Sales"/>
      </sharedItems>
    </cacheField>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fieldsUsage count="2">
        <fieldUsage x="-1"/>
        <fieldUsage x="1"/>
      </fieldsUsage>
    </cacheHierarchy>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oneField="1">
      <fieldsUsage count="1">
        <fieldUsage x="0"/>
      </fieldsUsage>
    </cacheHierarchy>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46096874999" backgroundQuery="1" createdVersion="8" refreshedVersion="8" minRefreshableVersion="3" recordCount="0" supportSubquery="1" supportAdvancedDrill="1" xr:uid="{3D10A0FD-077C-4353-ACA9-11B1ED6E1AAB}">
  <cacheSource type="external" connectionId="2"/>
  <cacheFields count="3">
    <cacheField name="[HR_Analytics_Messy_Dataset_2000_Rows].[Department].[Department]" caption="Department" numFmtId="0" hierarchy="2" level="1">
      <sharedItems count="7">
        <s v="Admin"/>
        <s v="Finance"/>
        <s v="Hr"/>
        <s v="It"/>
        <s v="Marketing"/>
        <s v="Operations"/>
        <s v="Sales"/>
      </sharedItems>
    </cacheField>
    <cacheField name="[Measures].[Count of Employee ID]" caption="Count of Employee ID" numFmtId="0" hierarchy="20" level="32767"/>
    <cacheField name="[HR_Analytics_Messy_Dataset_2000_Rows].[Employment Status].[Employment Status]" caption="Employment Status" numFmtId="0" hierarchy="10" level="1">
      <sharedItems containsSemiMixedTypes="0" containsNonDate="0" containsString="0"/>
    </cacheField>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fieldsUsage count="2">
        <fieldUsage x="-1"/>
        <fieldUsage x="0"/>
      </fieldsUsage>
    </cacheHierarchy>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2" memberValueDatatype="130" unbalanced="0">
      <fieldsUsage count="2">
        <fieldUsage x="-1"/>
        <fieldUsage x="2"/>
      </fieldsUsage>
    </cacheHierarchy>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46097222222" backgroundQuery="1" createdVersion="8" refreshedVersion="8" minRefreshableVersion="3" recordCount="0" supportSubquery="1" supportAdvancedDrill="1" xr:uid="{ED0B097C-0E8F-450E-BAC5-1847025FAE88}">
  <cacheSource type="external" connectionId="2"/>
  <cacheFields count="3">
    <cacheField name="[Measures].[Total Employee]" caption="Total Employee" numFmtId="0" hierarchy="13" level="32767"/>
    <cacheField name="[HR_Analytics_Messy_Dataset_2000_Rows].[Gender].[Gender]" caption="Gender" numFmtId="0" hierarchy="4" level="1">
      <sharedItems count="2">
        <s v="Female"/>
        <s v="Male"/>
      </sharedItems>
    </cacheField>
    <cacheField name="[HR_Analytics_Messy_Dataset_2000_Rows].[Department].[Department]" caption="Department" numFmtId="0" hierarchy="2" level="1">
      <sharedItems containsSemiMixedTypes="0" containsNonDate="0" containsString="0"/>
    </cacheField>
  </cacheFields>
  <cacheHierarchies count="25">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fieldsUsage count="2">
        <fieldUsage x="-1"/>
        <fieldUsage x="2"/>
      </fieldsUsage>
    </cacheHierarchy>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fieldsUsage count="2">
        <fieldUsage x="-1"/>
        <fieldUsage x="1"/>
      </fieldsUsage>
    </cacheHierarchy>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oneField="1">
      <fieldsUsage count="1">
        <fieldUsage x="0"/>
      </fieldsUsage>
    </cacheHierarchy>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Distinct Count of Employee ID]" caption="Distinct 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ies>
  <kpis count="0"/>
  <dimensions count="2">
    <dimension name="HR_Analytics_Messy_Dataset_2000_Rows" uniqueName="[HR_Analytics_Messy_Dataset_2000_Rows]" caption="HR_Analytics_Messy_Dataset_2000_Rows"/>
    <dimension measure="1" name="Measures" uniqueName="[Measures]" caption="Measures"/>
  </dimensions>
  <measureGroups count="1">
    <measureGroup name="HR_Analytics_Messy_Dataset_2000_Rows" caption="HR_Analytics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83728634259" backgroundQuery="1" createdVersion="3" refreshedVersion="8" minRefreshableVersion="3" recordCount="0" supportSubquery="1" supportAdvancedDrill="1" xr:uid="{A52DA59A-DA6D-4333-831D-402779A030FB}">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HR_Analytics_Messy_Dataset_2000_Rows].[Employee ID]" caption="Employee ID" attribute="1" defaultMemberUniqueName="[HR_Analytics_Messy_Dataset_2000_Rows].[Employee ID].[All]" allUniqueName="[HR_Analytics_Messy_Dataset_2000_Rows].[Employee ID].[All]" dimensionUniqueName="[HR_Analytics_Messy_Dataset_2000_Rows]" displayFolder="" count="0" memberValueDatatype="130" unbalanced="0"/>
    <cacheHierarchy uniqueName="[HR_Analytics_Messy_Dataset_2000_Rows].[Employee Name]" caption="Employee Name" attribute="1" defaultMemberUniqueName="[HR_Analytics_Messy_Dataset_2000_Rows].[Employee Name].[All]" allUniqueName="[HR_Analytics_Messy_Dataset_2000_Rows].[Employee Name].[All]" dimensionUniqueName="[HR_Analytics_Messy_Dataset_2000_Rows]" displayFolder="" count="0" memberValueDatatype="130" unbalanced="0"/>
    <cacheHierarchy uniqueName="[HR_Analytics_Messy_Dataset_2000_Rows].[Department]" caption="Department" attribute="1" defaultMemberUniqueName="[HR_Analytics_Messy_Dataset_2000_Rows].[Department].[All]" allUniqueName="[HR_Analytics_Messy_Dataset_2000_Rows].[Department].[All]" dimensionUniqueName="[HR_Analytics_Messy_Dataset_2000_Rows]" displayFolder="" count="2" memberValueDatatype="130" unbalanced="0"/>
    <cacheHierarchy uniqueName="[HR_Analytics_Messy_Dataset_2000_Rows].[Designation]" caption="Designation" attribute="1" defaultMemberUniqueName="[HR_Analytics_Messy_Dataset_2000_Rows].[Designation].[All]" allUniqueName="[HR_Analytics_Messy_Dataset_2000_Rows].[Designation].[All]" dimensionUniqueName="[HR_Analytics_Messy_Dataset_2000_Rows]" displayFolder="" count="0" memberValueDatatype="130" unbalanced="0"/>
    <cacheHierarchy uniqueName="[HR_Analytics_Messy_Dataset_2000_Rows].[Gender]" caption="Gender" attribute="1" defaultMemberUniqueName="[HR_Analytics_Messy_Dataset_2000_Rows].[Gender].[All]" allUniqueName="[HR_Analytics_Messy_Dataset_2000_Rows].[Gender].[All]" dimensionUniqueName="[HR_Analytics_Messy_Dataset_2000_Rows]" displayFolder="" count="2" memberValueDatatype="130" unbalanced="0"/>
    <cacheHierarchy uniqueName="[HR_Analytics_Messy_Dataset_2000_Rows].[Joining Date]" caption="Joining Date" attribute="1" time="1" defaultMemberUniqueName="[HR_Analytics_Messy_Dataset_2000_Rows].[Joining Date].[All]" allUniqueName="[HR_Analytics_Messy_Dataset_2000_Rows].[Joining Date].[All]" dimensionUniqueName="[HR_Analytics_Messy_Dataset_2000_Rows]" displayFolder="" count="0" memberValueDatatype="7" unbalanced="0"/>
    <cacheHierarchy uniqueName="[HR_Analytics_Messy_Dataset_2000_Rows].[Exit Date]" caption="Exit Date" attribute="1" time="1" defaultMemberUniqueName="[HR_Analytics_Messy_Dataset_2000_Rows].[Exit Date].[All]" allUniqueName="[HR_Analytics_Messy_Dataset_2000_Rows].[Exit Date].[All]" dimensionUniqueName="[HR_Analytics_Messy_Dataset_2000_Rows]" displayFolder="" count="0" memberValueDatatype="7" unbalanced="0"/>
    <cacheHierarchy uniqueName="[HR_Analytics_Messy_Dataset_2000_Rows].[Salary]" caption="Salary" attribute="1" defaultMemberUniqueName="[HR_Analytics_Messy_Dataset_2000_Rows].[Salary].[All]" allUniqueName="[HR_Analytics_Messy_Dataset_2000_Rows].[Salary].[All]" dimensionUniqueName="[HR_Analytics_Messy_Dataset_2000_Rows]" displayFolder="" count="0" memberValueDatatype="5" unbalanced="0"/>
    <cacheHierarchy uniqueName="[HR_Analytics_Messy_Dataset_2000_Rows].[Attendance %]" caption="Attendance %" attribute="1" defaultMemberUniqueName="[HR_Analytics_Messy_Dataset_2000_Rows].[Attendance %].[All]" allUniqueName="[HR_Analytics_Messy_Dataset_2000_Rows].[Attendance %].[All]" dimensionUniqueName="[HR_Analytics_Messy_Dataset_2000_Rows]" displayFolder="" count="0" memberValueDatatype="5" unbalanced="0"/>
    <cacheHierarchy uniqueName="[HR_Analytics_Messy_Dataset_2000_Rows].[Location]" caption="Location" attribute="1" defaultMemberUniqueName="[HR_Analytics_Messy_Dataset_2000_Rows].[Location].[All]" allUniqueName="[HR_Analytics_Messy_Dataset_2000_Rows].[Location].[All]" dimensionUniqueName="[HR_Analytics_Messy_Dataset_2000_Rows]" displayFolder="" count="2" memberValueDatatype="130" unbalanced="0"/>
    <cacheHierarchy uniqueName="[HR_Analytics_Messy_Dataset_2000_Rows].[Employment Status]" caption="Employment Status" attribute="1" defaultMemberUniqueName="[HR_Analytics_Messy_Dataset_2000_Rows].[Employment Status].[All]" allUniqueName="[HR_Analytics_Messy_Dataset_2000_Rows].[Employment Status].[All]" dimensionUniqueName="[HR_Analytics_Messy_Dataset_2000_Rows]" displayFolder="" count="0" memberValueDatatype="130" unbalanced="0"/>
    <cacheHierarchy uniqueName="[HR_Analytics_Messy_Dataset_2000_Rows].[Month Name]" caption="Month Name" attribute="1" defaultMemberUniqueName="[HR_Analytics_Messy_Dataset_2000_Rows].[Month Name].[All]" allUniqueName="[HR_Analytics_Messy_Dataset_2000_Rows].[Month Name].[All]" dimensionUniqueName="[HR_Analytics_Messy_Dataset_2000_Rows]" displayFolder="" count="0" memberValueDatatype="130" unbalanced="0"/>
    <cacheHierarchy uniqueName="[HR_Analytics_Messy_Dataset_2000_Rows].[Year]" caption="Year" attribute="1" defaultMemberUniqueName="[HR_Analytics_Messy_Dataset_2000_Rows].[Year].[All]" allUniqueName="[HR_Analytics_Messy_Dataset_2000_Rows].[Year].[All]" dimensionUniqueName="[HR_Analytics_Messy_Dataset_2000_Rows]" displayFolder="" count="2" memberValueDatatype="20" unbalanced="0"/>
    <cacheHierarchy uniqueName="[Measures].[Total Employee]" caption="Total Employee" measure="1" displayFolder="" measureGroup="HR_Analytics_Messy_Dataset_2000_Rows" count="0"/>
    <cacheHierarchy uniqueName="[Measures].[Active Emp]" caption="Active Emp" measure="1" displayFolder="" measureGroup="HR_Analytics_Messy_Dataset_2000_Rows" count="0"/>
    <cacheHierarchy uniqueName="[Measures].[Attrition Count]" caption="Attrition Count" measure="1" displayFolder="" measureGroup="HR_Analytics_Messy_Dataset_2000_Rows" count="0"/>
    <cacheHierarchy uniqueName="[Measures].[Attrition Rate]" caption="Attrition Rate" measure="1" displayFolder="" measureGroup="HR_Analytics_Messy_Dataset_2000_Rows" count="0"/>
    <cacheHierarchy uniqueName="[Measures].[Average Salary]" caption="Average Salary" measure="1" displayFolder="" measureGroup="HR_Analytics_Messy_Dataset_2000_Rows" count="0"/>
    <cacheHierarchy uniqueName="[Measures].[__XL_Count HR_Analytics_Messy_Dataset_2000_Rows]" caption="__XL_Count HR_Analytics_Messy_Dataset_2000_Rows" measure="1" displayFolder="" measureGroup="HR_Analytics_Messy_Dataset_2000_Rows" count="0" hidden="1"/>
    <cacheHierarchy uniqueName="[Measures].[__No measures defined]" caption="__No measures defined" measure="1" displayFolder="" count="0" hidden="1"/>
    <cacheHierarchy uniqueName="[Measures].[Count of Employee ID]" caption="Count of Employee ID" measure="1" displayFolder="" measureGroup="HR_Analytics_Messy_Dataset_2000_Rows"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HR_Analytics_Messy_Dataset_2000_Rows"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HR_Analytics_Messy_Dataset_2000_Row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2615539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48E00C-4710-4F13-972D-83CB22E0BC31}" name="PivotTable6" cacheId="5" applyNumberFormats="0" applyBorderFormats="0" applyFontFormats="0" applyPatternFormats="0" applyAlignmentFormats="0" applyWidthHeightFormats="1" dataCaption="Values" tag="7d358e4f-89f3-48c6-81e2-f5b97fc15c26" updatedVersion="8" minRefreshableVersion="3" useAutoFormatting="1" subtotalHiddenItems="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D27C0D-8C55-430B-8655-866426E7EDCB}" name="PivotTable5" cacheId="6" applyNumberFormats="0" applyBorderFormats="0" applyFontFormats="0" applyPatternFormats="0" applyAlignmentFormats="0" applyWidthHeightFormats="1" dataCaption="Values" tag="9847d987-bb31-46e0-9d88-ec87500f90c1"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E42BA9-D7E5-4A7F-80BD-92D6F3CF0937}" name="Exited Attribute" cacheId="666" applyNumberFormats="0" applyBorderFormats="0" applyFontFormats="0" applyPatternFormats="0" applyAlignmentFormats="0" applyWidthHeightFormats="1" dataCaption="Values" tag="a2074d72-41d9-4787-b9c7-5ab463a149dd" updatedVersion="8" minRefreshableVersion="3" useAutoFormatting="1" subtotalHiddenItems="1" itemPrintTitles="1" createdVersion="8" indent="0" outline="1" outlineData="1" multipleFieldFilters="0" chartFormat="3">
  <location ref="I6:J14" firstHeaderRow="1" firstDataRow="1" firstDataCol="1" rowPageCount="1" colPageCount="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10" name="[HR_Analytics_Messy_Dataset_2000_Rows].[Employment Status].&amp;[Exited]" cap="Exited"/>
  </pageFields>
  <dataFields count="1">
    <dataField name="Count of Employee 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34E21C-9779-469A-95D3-0EA37ADB849A}" name="Gender" cacheId="669" applyNumberFormats="0" applyBorderFormats="0" applyFontFormats="0" applyPatternFormats="0" applyAlignmentFormats="0" applyWidthHeightFormats="1" dataCaption="Values" tag="d8725e98-1a37-4dd4-9c2d-4205cbb1a833" updatedVersion="8" minRefreshableVersion="3" useAutoFormatting="1" subtotalHiddenItems="1" itemPrintTitles="1" createdVersion="8" indent="0" outline="1" outlineData="1" multipleFieldFilters="0" chartFormat="4">
  <location ref="E6:F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F485C5-29F4-495A-BFA1-EB1310CAEC44}" name="PivotTable3" cacheId="4" applyNumberFormats="0" applyBorderFormats="0" applyFontFormats="0" applyPatternFormats="0" applyAlignmentFormats="0" applyWidthHeightFormats="1" dataCaption="Values" tag="b1c23432-97b0-4c90-ac7e-3a3673c63697"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64C4C6-76E1-4F32-8C0B-C68FBF7FE763}" name="Monthly emp" cacheId="660" applyNumberFormats="0" applyBorderFormats="0" applyFontFormats="0" applyPatternFormats="0" applyAlignmentFormats="0" applyWidthHeightFormats="1" dataCaption="Values" tag="ab743389-7dd9-43ae-b06a-f1455fa937a6" updatedVersion="8" minRefreshableVersion="3" useAutoFormatting="1" subtotalHiddenItems="1" itemPrintTitles="1" createdVersion="8" indent="0" outline="1" outlineData="1" multipleFieldFilters="0" chartFormat="4">
  <location ref="H28:I41" firstHeaderRow="1" firstDataRow="1" firstDataCol="1"/>
  <pivotFields count="3">
    <pivotField axis="axisRow" allDrilled="1" subtotalTop="0" showAll="0" defaultSubtotal="0" defaultAttributeDrillState="1">
      <items count="12">
        <item x="1"/>
        <item x="4"/>
        <item x="8"/>
        <item x="6"/>
        <item x="9"/>
        <item x="10"/>
        <item x="2"/>
        <item x="0"/>
        <item x="3"/>
        <item x="5"/>
        <item x="7"/>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Distinct Count of Employee ID" fld="1"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caption="Distinct Count of Employee ID"/>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700B4A-8369-434A-AD38-A2B0E2D290C1}" name="EmpByDepartment" cacheId="663" applyNumberFormats="0" applyBorderFormats="0" applyFontFormats="0" applyPatternFormats="0" applyAlignmentFormats="0" applyWidthHeightFormats="1" dataCaption="Values" tag="ab743389-7dd9-43ae-b06a-f1455fa937a6" updatedVersion="8" minRefreshableVersion="3" useAutoFormatting="1" subtotalHiddenItems="1" itemPrintTitles="1" createdVersion="8" indent="0" outline="1" outlineData="1" multipleFieldFilters="0" chartFormat="5">
  <location ref="A6:B1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2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ED187A-A2BC-49D6-A194-425B6EAEC9B3}" name="Sales By Department" cacheId="657" applyNumberFormats="0" applyBorderFormats="0" applyFontFormats="0" applyPatternFormats="0" applyAlignmentFormats="0" applyWidthHeightFormats="1" dataCaption="Values" tag="ab743389-7dd9-43ae-b06a-f1455fa937a6" updatedVersion="8" minRefreshableVersion="3" useAutoFormatting="1" subtotalHiddenItems="1" itemPrintTitles="1" createdVersion="8" indent="0" outline="1" outlineData="1" multipleFieldFilters="0" chartFormat="5">
  <location ref="E18:F2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Salary" fld="1" subtotal="average" baseField="0" baseItem="0" numFmtId="165"/>
  </dataFields>
  <formats count="2">
    <format dxfId="0">
      <pivotArea collapsedLevelsAreSubtotals="1" fieldPosition="0">
        <references count="1">
          <reference field="0" count="0"/>
        </references>
      </pivotArea>
    </format>
    <format dxfId="1">
      <pivotArea outline="0" fieldPosition="0">
        <references count="1">
          <reference field="4294967294" count="1">
            <x v="0"/>
          </reference>
        </references>
      </pivotArea>
    </format>
  </formats>
  <chartFormats count="1">
    <chartFormat chart="4" format="4"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E11D51-A85C-4819-B438-A98788EB14A3}" name="PivotTable4" cacheId="1" applyNumberFormats="0" applyBorderFormats="0" applyFontFormats="0" applyPatternFormats="0" applyAlignmentFormats="0" applyWidthHeightFormats="1" dataCaption="Values" tag="ffe11d2d-570b-4644-a598-4836dda7d734" updatedVersion="8"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ED199B-6770-46FD-A3E2-82D35D693FBF}" sourceName="[HR_Analytics_Messy_Dataset_2000_Rows].[Gender]">
  <pivotTables>
    <pivotTable tabId="1" name="Sales By Department"/>
    <pivotTable tabId="1" name="Monthly emp"/>
    <pivotTable tabId="1" name="EmpByDepartment"/>
    <pivotTable tabId="1" name="Exited Attribute"/>
  </pivotTables>
  <data>
    <olap pivotCacheId="1261553994">
      <levels count="2">
        <level uniqueName="[HR_Analytics_Messy_Dataset_2000_Rows].[Gender].[(All)]" sourceCaption="(All)" count="0"/>
        <level uniqueName="[HR_Analytics_Messy_Dataset_2000_Rows].[Gender].[Gender]" sourceCaption="Gender" count="2">
          <ranges>
            <range startItem="0">
              <i n="[HR_Analytics_Messy_Dataset_2000_Rows].[Gender].&amp;[Female]" c="Female"/>
              <i n="[HR_Analytics_Messy_Dataset_2000_Rows].[Gender].&amp;[Male]" c="Male"/>
            </range>
          </ranges>
        </level>
      </levels>
      <selections count="1">
        <selection n="[HR_Analytics_Messy_Dataset_2000_Row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982363-F41E-4938-8BA3-85B5B1A2405B}" sourceName="[HR_Analytics_Messy_Dataset_2000_Rows].[Location]">
  <pivotTables>
    <pivotTable tabId="1" name="Sales By Department"/>
    <pivotTable tabId="1" name="Monthly emp"/>
    <pivotTable tabId="1" name="EmpByDepartment"/>
    <pivotTable tabId="1" name="Exited Attribute"/>
    <pivotTable tabId="1" name="Gender"/>
  </pivotTables>
  <data>
    <olap pivotCacheId="1261553994">
      <levels count="2">
        <level uniqueName="[HR_Analytics_Messy_Dataset_2000_Rows].[Location].[(All)]" sourceCaption="(All)" count="0"/>
        <level uniqueName="[HR_Analytics_Messy_Dataset_2000_Rows].[Location].[Location]" sourceCaption="Location" count="9">
          <ranges>
            <range startItem="0">
              <i n="[HR_Analytics_Messy_Dataset_2000_Rows].[Location].&amp;[Bengaluru]" c="Bengaluru"/>
              <i n="[HR_Analytics_Messy_Dataset_2000_Rows].[Location].&amp;[Chennai]" c="Chennai"/>
              <i n="[HR_Analytics_Messy_Dataset_2000_Rows].[Location].&amp;[Delhi]" c="Delhi"/>
              <i n="[HR_Analytics_Messy_Dataset_2000_Rows].[Location].&amp;[Hyderabad]" c="Hyderabad"/>
              <i n="[HR_Analytics_Messy_Dataset_2000_Rows].[Location].&amp;[Indore]" c="Indore"/>
              <i n="[HR_Analytics_Messy_Dataset_2000_Rows].[Location].&amp;[Mumbai]" c="Mumbai"/>
              <i n="[HR_Analytics_Messy_Dataset_2000_Rows].[Location].&amp;[Nagpur]" c="Nagpur"/>
              <i n="[HR_Analytics_Messy_Dataset_2000_Rows].[Location].&amp;[Pune]" c="Pune"/>
              <i n="[HR_Analytics_Messy_Dataset_2000_Rows].[Location].&amp;[Wardha]" c="Wardha"/>
            </range>
          </ranges>
        </level>
      </levels>
      <selections count="1">
        <selection n="[HR_Analytics_Messy_Dataset_2000_Rows].[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C88137-6273-445C-A32F-4BF6912A97E7}" sourceName="[HR_Analytics_Messy_Dataset_2000_Rows].[Year]">
  <pivotTables>
    <pivotTable tabId="1" name="Sales By Department"/>
    <pivotTable tabId="1" name="Monthly emp"/>
    <pivotTable tabId="1" name="EmpByDepartment"/>
    <pivotTable tabId="1" name="Exited Attribute"/>
    <pivotTable tabId="1" name="Gender"/>
  </pivotTables>
  <data>
    <olap pivotCacheId="1261553994">
      <levels count="2">
        <level uniqueName="[HR_Analytics_Messy_Dataset_2000_Rows].[Year].[(All)]" sourceCaption="(All)" count="0"/>
        <level uniqueName="[HR_Analytics_Messy_Dataset_2000_Rows].[Year].[Year]" sourceCaption="Year" count="7">
          <ranges>
            <range startItem="0">
              <i n="[HR_Analytics_Messy_Dataset_2000_Rows].[Year].&amp;[2019]" c="2019"/>
              <i n="[HR_Analytics_Messy_Dataset_2000_Rows].[Year].&amp;[2020]" c="2020"/>
              <i n="[HR_Analytics_Messy_Dataset_2000_Rows].[Year].&amp;[2021]" c="2021"/>
              <i n="[HR_Analytics_Messy_Dataset_2000_Rows].[Year].&amp;[2022]" c="2022"/>
              <i n="[HR_Analytics_Messy_Dataset_2000_Rows].[Year].&amp;[2023]" c="2023"/>
              <i n="[HR_Analytics_Messy_Dataset_2000_Rows].[Year].&amp;[2024]" c="2024"/>
              <i n="[HR_Analytics_Messy_Dataset_2000_Rows].[Year].&amp;[2025]" c="2025"/>
            </range>
          </ranges>
        </level>
      </levels>
      <selections count="1">
        <selection n="[HR_Analytics_Messy_Dataset_2000_Rows].[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7CB8C5-3177-4E10-9C73-C260788958B3}" sourceName="[HR_Analytics_Messy_Dataset_2000_Rows].[Department]">
  <pivotTables>
    <pivotTable tabId="1" name="Sales By Department"/>
    <pivotTable tabId="1" name="Monthly emp"/>
    <pivotTable tabId="1" name="EmpByDepartment"/>
    <pivotTable tabId="1" name="Exited Attribute"/>
    <pivotTable tabId="1" name="Gender"/>
  </pivotTables>
  <data>
    <olap pivotCacheId="1261553994">
      <levels count="2">
        <level uniqueName="[HR_Analytics_Messy_Dataset_2000_Rows].[Department].[(All)]" sourceCaption="(All)" count="0"/>
        <level uniqueName="[HR_Analytics_Messy_Dataset_2000_Rows].[Department].[Department]" sourceCaption="Department" count="7">
          <ranges>
            <range startItem="0">
              <i n="[HR_Analytics_Messy_Dataset_2000_Rows].[Department].&amp;[Admin]" c="Admin"/>
              <i n="[HR_Analytics_Messy_Dataset_2000_Rows].[Department].&amp;[Finance]" c="Finance"/>
              <i n="[HR_Analytics_Messy_Dataset_2000_Rows].[Department].&amp;[Hr]" c="Hr"/>
              <i n="[HR_Analytics_Messy_Dataset_2000_Rows].[Department].&amp;[It]" c="It"/>
              <i n="[HR_Analytics_Messy_Dataset_2000_Rows].[Department].&amp;[Marketing]" c="Marketing"/>
              <i n="[HR_Analytics_Messy_Dataset_2000_Rows].[Department].&amp;[Operations]" c="Operations"/>
              <i n="[HR_Analytics_Messy_Dataset_2000_Rows].[Department].&amp;[Sales]" c="Sales"/>
            </range>
          </ranges>
        </level>
      </levels>
      <selections count="1">
        <selection n="[HR_Analytics_Messy_Dataset_2000_Row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8334B1-1137-42A7-9BBF-EF326EE2E44C}" cache="Slicer_Gender" caption="Gender" showCaption="0" level="1" style="SlicerStyleLight1 2" rowHeight="180000"/>
  <slicer name="Location" xr10:uid="{DE41E396-2770-4754-9A87-EFC08BF1FF55}" cache="Slicer_Location" caption="Location" showCaption="0" level="1" style="SlicerStyleLight1 2" rowHeight="234950"/>
  <slicer name="Year" xr10:uid="{640E1EE8-C52C-4A45-B201-C0A8C113DC47}" cache="Slicer_Year" caption="Year" showCaption="0" level="1" style="SlicerStyleLight1 2" rowHeight="306000"/>
  <slicer name="Department" xr10:uid="{082886E3-5837-4F5B-AB6A-C914841E7076}" cache="Slicer_Department" caption="Department" showCaption="0" level="1" style="SlicerStyleLight1 2" rowHeight="18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F758-E808-437A-B61F-9B5A28B5A8A1}">
  <dimension ref="A1:J41"/>
  <sheetViews>
    <sheetView topLeftCell="A10" workbookViewId="0">
      <selection activeCell="T11" sqref="T11"/>
    </sheetView>
  </sheetViews>
  <sheetFormatPr defaultRowHeight="14.4" x14ac:dyDescent="0.3"/>
  <cols>
    <col min="1" max="1" width="12.5546875" bestFit="1" customWidth="1"/>
    <col min="2" max="2" width="14.109375" bestFit="1" customWidth="1"/>
    <col min="3" max="4" width="10.44140625" bestFit="1" customWidth="1"/>
    <col min="5" max="5" width="12.5546875" bestFit="1" customWidth="1"/>
    <col min="6" max="6" width="14.109375" bestFit="1" customWidth="1"/>
    <col min="7" max="8" width="12.5546875" bestFit="1" customWidth="1"/>
    <col min="9" max="9" width="16.77734375" bestFit="1" customWidth="1"/>
    <col min="10" max="10" width="19.5546875" bestFit="1" customWidth="1"/>
  </cols>
  <sheetData>
    <row r="1" spans="1:10" x14ac:dyDescent="0.3">
      <c r="A1" t="s">
        <v>0</v>
      </c>
      <c r="C1" t="s">
        <v>1</v>
      </c>
      <c r="E1" t="s">
        <v>2</v>
      </c>
      <c r="G1" t="s">
        <v>3</v>
      </c>
    </row>
    <row r="2" spans="1:10" x14ac:dyDescent="0.3">
      <c r="A2" s="1">
        <v>1956</v>
      </c>
      <c r="C2" s="1">
        <v>983</v>
      </c>
      <c r="E2" s="3">
        <v>0.49744376278118607</v>
      </c>
      <c r="G2" s="4">
        <v>50944.124744376277</v>
      </c>
    </row>
    <row r="4" spans="1:10" x14ac:dyDescent="0.3">
      <c r="I4" s="2" t="s">
        <v>16</v>
      </c>
      <c r="J4" t="s" vm="1">
        <v>17</v>
      </c>
    </row>
    <row r="6" spans="1:10" x14ac:dyDescent="0.3">
      <c r="A6" s="2" t="s">
        <v>4</v>
      </c>
      <c r="B6" t="s">
        <v>0</v>
      </c>
      <c r="E6" s="2" t="s">
        <v>4</v>
      </c>
      <c r="F6" t="s">
        <v>0</v>
      </c>
      <c r="I6" s="2" t="s">
        <v>4</v>
      </c>
      <c r="J6" t="s">
        <v>15</v>
      </c>
    </row>
    <row r="7" spans="1:10" x14ac:dyDescent="0.3">
      <c r="A7" s="5" t="s">
        <v>5</v>
      </c>
      <c r="B7" s="1">
        <v>220</v>
      </c>
      <c r="E7" s="5" t="s">
        <v>13</v>
      </c>
      <c r="F7" s="1">
        <v>976</v>
      </c>
      <c r="I7" s="5" t="s">
        <v>5</v>
      </c>
      <c r="J7" s="1">
        <v>106</v>
      </c>
    </row>
    <row r="8" spans="1:10" x14ac:dyDescent="0.3">
      <c r="A8" s="5" t="s">
        <v>6</v>
      </c>
      <c r="B8" s="1">
        <v>203</v>
      </c>
      <c r="E8" s="5" t="s">
        <v>14</v>
      </c>
      <c r="F8" s="1">
        <v>980</v>
      </c>
      <c r="I8" s="5" t="s">
        <v>6</v>
      </c>
      <c r="J8" s="1">
        <v>99</v>
      </c>
    </row>
    <row r="9" spans="1:10" x14ac:dyDescent="0.3">
      <c r="A9" s="5" t="s">
        <v>7</v>
      </c>
      <c r="B9" s="1">
        <v>567</v>
      </c>
      <c r="E9" s="5" t="s">
        <v>12</v>
      </c>
      <c r="F9" s="1">
        <v>1956</v>
      </c>
      <c r="I9" s="5" t="s">
        <v>7</v>
      </c>
      <c r="J9" s="1">
        <v>286</v>
      </c>
    </row>
    <row r="10" spans="1:10" x14ac:dyDescent="0.3">
      <c r="A10" s="5" t="s">
        <v>8</v>
      </c>
      <c r="B10" s="1">
        <v>206</v>
      </c>
      <c r="I10" s="5" t="s">
        <v>8</v>
      </c>
      <c r="J10" s="1">
        <v>114</v>
      </c>
    </row>
    <row r="11" spans="1:10" x14ac:dyDescent="0.3">
      <c r="A11" s="5" t="s">
        <v>9</v>
      </c>
      <c r="B11" s="1">
        <v>185</v>
      </c>
      <c r="I11" s="5" t="s">
        <v>9</v>
      </c>
      <c r="J11" s="1">
        <v>90</v>
      </c>
    </row>
    <row r="12" spans="1:10" x14ac:dyDescent="0.3">
      <c r="A12" s="5" t="s">
        <v>10</v>
      </c>
      <c r="B12" s="1">
        <v>194</v>
      </c>
      <c r="I12" s="5" t="s">
        <v>10</v>
      </c>
      <c r="J12" s="1">
        <v>92</v>
      </c>
    </row>
    <row r="13" spans="1:10" ht="18" x14ac:dyDescent="0.3">
      <c r="A13" s="5" t="s">
        <v>11</v>
      </c>
      <c r="B13" s="1">
        <v>381</v>
      </c>
      <c r="D13" s="10" t="s">
        <v>32</v>
      </c>
      <c r="I13" s="5" t="s">
        <v>11</v>
      </c>
      <c r="J13" s="1">
        <v>186</v>
      </c>
    </row>
    <row r="14" spans="1:10" x14ac:dyDescent="0.3">
      <c r="A14" s="5" t="s">
        <v>12</v>
      </c>
      <c r="B14" s="1">
        <v>1956</v>
      </c>
      <c r="I14" s="5" t="s">
        <v>12</v>
      </c>
      <c r="J14" s="1">
        <v>973</v>
      </c>
    </row>
    <row r="16" spans="1:10" x14ac:dyDescent="0.3">
      <c r="A16" s="6" t="s">
        <v>4</v>
      </c>
      <c r="B16" s="6" t="s">
        <v>0</v>
      </c>
    </row>
    <row r="17" spans="1:9" x14ac:dyDescent="0.3">
      <c r="A17" s="5" t="s">
        <v>5</v>
      </c>
      <c r="B17">
        <f>B7</f>
        <v>220</v>
      </c>
    </row>
    <row r="18" spans="1:9" x14ac:dyDescent="0.3">
      <c r="A18" s="5" t="s">
        <v>6</v>
      </c>
      <c r="B18">
        <f t="shared" ref="B18:B24" si="0">B8</f>
        <v>203</v>
      </c>
      <c r="E18" s="2" t="s">
        <v>4</v>
      </c>
      <c r="F18" t="s">
        <v>18</v>
      </c>
    </row>
    <row r="19" spans="1:9" x14ac:dyDescent="0.3">
      <c r="A19" s="5" t="s">
        <v>7</v>
      </c>
      <c r="B19">
        <f t="shared" si="0"/>
        <v>567</v>
      </c>
      <c r="E19" s="5" t="s">
        <v>5</v>
      </c>
      <c r="F19" s="7">
        <v>50141.572727272731</v>
      </c>
    </row>
    <row r="20" spans="1:9" x14ac:dyDescent="0.3">
      <c r="A20" s="5" t="s">
        <v>8</v>
      </c>
      <c r="B20">
        <f t="shared" si="0"/>
        <v>206</v>
      </c>
      <c r="E20" s="5" t="s">
        <v>6</v>
      </c>
      <c r="F20" s="7">
        <v>49090.443349753696</v>
      </c>
    </row>
    <row r="21" spans="1:9" x14ac:dyDescent="0.3">
      <c r="A21" s="5" t="s">
        <v>9</v>
      </c>
      <c r="B21">
        <f t="shared" si="0"/>
        <v>185</v>
      </c>
      <c r="E21" s="5" t="s">
        <v>7</v>
      </c>
      <c r="F21" s="7">
        <v>51366.908289241619</v>
      </c>
    </row>
    <row r="22" spans="1:9" x14ac:dyDescent="0.3">
      <c r="A22" s="5" t="s">
        <v>10</v>
      </c>
      <c r="B22">
        <f t="shared" si="0"/>
        <v>194</v>
      </c>
      <c r="E22" s="5" t="s">
        <v>8</v>
      </c>
      <c r="F22" s="7">
        <v>50511.072815533982</v>
      </c>
    </row>
    <row r="23" spans="1:9" x14ac:dyDescent="0.3">
      <c r="A23" s="5" t="s">
        <v>11</v>
      </c>
      <c r="B23">
        <f t="shared" si="0"/>
        <v>381</v>
      </c>
      <c r="E23" s="5" t="s">
        <v>9</v>
      </c>
      <c r="F23" s="7">
        <v>52838.956756756757</v>
      </c>
    </row>
    <row r="24" spans="1:9" x14ac:dyDescent="0.3">
      <c r="A24" s="8" t="s">
        <v>12</v>
      </c>
      <c r="B24">
        <f t="shared" si="0"/>
        <v>1956</v>
      </c>
      <c r="E24" s="5" t="s">
        <v>10</v>
      </c>
      <c r="F24" s="7">
        <v>53650.81443298969</v>
      </c>
    </row>
    <row r="25" spans="1:9" x14ac:dyDescent="0.3">
      <c r="E25" s="5" t="s">
        <v>11</v>
      </c>
      <c r="F25" s="7">
        <v>49701.88713910761</v>
      </c>
    </row>
    <row r="26" spans="1:9" x14ac:dyDescent="0.3">
      <c r="E26" s="5" t="s">
        <v>12</v>
      </c>
      <c r="F26" s="7">
        <v>50944.124744376277</v>
      </c>
    </row>
    <row r="28" spans="1:9" x14ac:dyDescent="0.3">
      <c r="H28" s="2" t="s">
        <v>4</v>
      </c>
      <c r="I28" t="s">
        <v>31</v>
      </c>
    </row>
    <row r="29" spans="1:9" x14ac:dyDescent="0.3">
      <c r="H29" s="5" t="s">
        <v>20</v>
      </c>
      <c r="I29" s="1">
        <v>173</v>
      </c>
    </row>
    <row r="30" spans="1:9" x14ac:dyDescent="0.3">
      <c r="H30" s="5" t="s">
        <v>23</v>
      </c>
      <c r="I30" s="1">
        <v>192</v>
      </c>
    </row>
    <row r="31" spans="1:9" x14ac:dyDescent="0.3">
      <c r="H31" s="5" t="s">
        <v>27</v>
      </c>
      <c r="I31" s="1">
        <v>163</v>
      </c>
    </row>
    <row r="32" spans="1:9" x14ac:dyDescent="0.3">
      <c r="H32" s="5" t="s">
        <v>25</v>
      </c>
      <c r="I32" s="1">
        <v>175</v>
      </c>
    </row>
    <row r="33" spans="8:9" x14ac:dyDescent="0.3">
      <c r="H33" s="5" t="s">
        <v>28</v>
      </c>
      <c r="I33" s="1">
        <v>159</v>
      </c>
    </row>
    <row r="34" spans="8:9" x14ac:dyDescent="0.3">
      <c r="H34" s="5" t="s">
        <v>29</v>
      </c>
      <c r="I34" s="1">
        <v>172</v>
      </c>
    </row>
    <row r="35" spans="8:9" x14ac:dyDescent="0.3">
      <c r="H35" s="5" t="s">
        <v>21</v>
      </c>
      <c r="I35" s="1">
        <v>161</v>
      </c>
    </row>
    <row r="36" spans="8:9" x14ac:dyDescent="0.3">
      <c r="H36" s="5" t="s">
        <v>19</v>
      </c>
      <c r="I36" s="1">
        <v>159</v>
      </c>
    </row>
    <row r="37" spans="8:9" x14ac:dyDescent="0.3">
      <c r="H37" s="5" t="s">
        <v>22</v>
      </c>
      <c r="I37" s="1">
        <v>161</v>
      </c>
    </row>
    <row r="38" spans="8:9" x14ac:dyDescent="0.3">
      <c r="H38" s="5" t="s">
        <v>24</v>
      </c>
      <c r="I38" s="1">
        <v>146</v>
      </c>
    </row>
    <row r="39" spans="8:9" x14ac:dyDescent="0.3">
      <c r="H39" s="5" t="s">
        <v>26</v>
      </c>
      <c r="I39" s="1">
        <v>155</v>
      </c>
    </row>
    <row r="40" spans="8:9" x14ac:dyDescent="0.3">
      <c r="H40" s="5" t="s">
        <v>30</v>
      </c>
      <c r="I40" s="1">
        <v>140</v>
      </c>
    </row>
    <row r="41" spans="8:9" x14ac:dyDescent="0.3">
      <c r="H41" s="5" t="s">
        <v>12</v>
      </c>
      <c r="I41" s="1">
        <v>1956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F764-F214-44E9-86E5-51FAAB899797}">
  <dimension ref="A1:R27"/>
  <sheetViews>
    <sheetView tabSelected="1" workbookViewId="0">
      <selection activeCell="T7" sqref="T7"/>
    </sheetView>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0783402-69E4-4696-BA95-A95424B15030}">
  <ds:schemaRefs/>
</ds:datastoreItem>
</file>

<file path=customXml/itemProps2.xml><?xml version="1.0" encoding="utf-8"?>
<ds:datastoreItem xmlns:ds="http://schemas.openxmlformats.org/officeDocument/2006/customXml" ds:itemID="{D2686FA9-57CF-4630-8FB1-705D1644FCE3}">
  <ds:schemaRefs>
    <ds:schemaRef ds:uri="http://schemas.microsoft.com/DataMashup"/>
  </ds:schemaRefs>
</ds:datastoreItem>
</file>

<file path=customXml/itemProps3.xml><?xml version="1.0" encoding="utf-8"?>
<ds:datastoreItem xmlns:ds="http://schemas.openxmlformats.org/officeDocument/2006/customXml" ds:itemID="{AD77E2E6-EB92-483A-AB00-FD6D059E922A}">
  <ds:schemaRefs/>
</ds:datastoreItem>
</file>

<file path=customXml/itemProps4.xml><?xml version="1.0" encoding="utf-8"?>
<ds:datastoreItem xmlns:ds="http://schemas.openxmlformats.org/officeDocument/2006/customXml" ds:itemID="{4D5B2AFE-03AD-4467-A476-08CDD3263EA1}">
  <ds:schemaRefs/>
</ds:datastoreItem>
</file>

<file path=customXml/itemProps5.xml><?xml version="1.0" encoding="utf-8"?>
<ds:datastoreItem xmlns:ds="http://schemas.openxmlformats.org/officeDocument/2006/customXml" ds:itemID="{540A2517-B611-490F-8234-6F6A48FCFA7C}">
  <ds:schemaRefs/>
</ds:datastoreItem>
</file>

<file path=customXml/itemProps6.xml><?xml version="1.0" encoding="utf-8"?>
<ds:datastoreItem xmlns:ds="http://schemas.openxmlformats.org/officeDocument/2006/customXml" ds:itemID="{FB0620DD-105D-492C-A518-6D74F805FFA2}">
  <ds:schemaRefs/>
</ds:datastoreItem>
</file>

<file path=customXml/itemProps7.xml><?xml version="1.0" encoding="utf-8"?>
<ds:datastoreItem xmlns:ds="http://schemas.openxmlformats.org/officeDocument/2006/customXml" ds:itemID="{05D6DC7C-47D3-4624-90F6-A7E24BA4CD2E}">
  <ds:schemaRefs/>
</ds:datastoreItem>
</file>

<file path=customXml/itemProps8.xml><?xml version="1.0" encoding="utf-8"?>
<ds:datastoreItem xmlns:ds="http://schemas.openxmlformats.org/officeDocument/2006/customXml" ds:itemID="{7902BAFC-05FB-4E73-9D59-4D0038C33D61}">
  <ds:schemaRefs/>
</ds:datastoreItem>
</file>

<file path=customXml/itemProps9.xml><?xml version="1.0" encoding="utf-8"?>
<ds:datastoreItem xmlns:ds="http://schemas.openxmlformats.org/officeDocument/2006/customXml" ds:itemID="{B8D0C38B-D68D-41CB-B17E-493B08BB461D}">
  <ds:schemaRefs/>
</ds:datastoreItem>
</file>

<file path=customXml/itemProps10.xml><?xml version="1.0" encoding="utf-8"?>
<ds:datastoreItem xmlns:ds="http://schemas.openxmlformats.org/officeDocument/2006/customXml" ds:itemID="{B9E80ABA-9588-4A96-8B41-E98AF05E10D6}">
  <ds:schemaRefs/>
</ds:datastoreItem>
</file>

<file path=customXml/itemProps11.xml><?xml version="1.0" encoding="utf-8"?>
<ds:datastoreItem xmlns:ds="http://schemas.openxmlformats.org/officeDocument/2006/customXml" ds:itemID="{1DA5A5FA-A033-45A3-85CD-E5A5C2706CDD}">
  <ds:schemaRefs/>
</ds:datastoreItem>
</file>

<file path=customXml/itemProps12.xml><?xml version="1.0" encoding="utf-8"?>
<ds:datastoreItem xmlns:ds="http://schemas.openxmlformats.org/officeDocument/2006/customXml" ds:itemID="{8BBD78D9-25DE-4CF0-A5E3-63E0EFE3F255}">
  <ds:schemaRefs/>
</ds:datastoreItem>
</file>

<file path=customXml/itemProps13.xml><?xml version="1.0" encoding="utf-8"?>
<ds:datastoreItem xmlns:ds="http://schemas.openxmlformats.org/officeDocument/2006/customXml" ds:itemID="{8D8A73C0-DD55-4D37-A329-300E7858AE66}">
  <ds:schemaRefs/>
</ds:datastoreItem>
</file>

<file path=customXml/itemProps14.xml><?xml version="1.0" encoding="utf-8"?>
<ds:datastoreItem xmlns:ds="http://schemas.openxmlformats.org/officeDocument/2006/customXml" ds:itemID="{1CA9511B-98A6-4BA9-B031-6384C4CB35CE}">
  <ds:schemaRefs/>
</ds:datastoreItem>
</file>

<file path=customXml/itemProps15.xml><?xml version="1.0" encoding="utf-8"?>
<ds:datastoreItem xmlns:ds="http://schemas.openxmlformats.org/officeDocument/2006/customXml" ds:itemID="{580DAD95-B59D-47C8-B3A2-E0DBB42B1C87}">
  <ds:schemaRefs/>
</ds:datastoreItem>
</file>

<file path=customXml/itemProps16.xml><?xml version="1.0" encoding="utf-8"?>
<ds:datastoreItem xmlns:ds="http://schemas.openxmlformats.org/officeDocument/2006/customXml" ds:itemID="{AF75F462-1463-497E-8A5F-210835B2E1B3}">
  <ds:schemaRefs/>
</ds:datastoreItem>
</file>

<file path=customXml/itemProps17.xml><?xml version="1.0" encoding="utf-8"?>
<ds:datastoreItem xmlns:ds="http://schemas.openxmlformats.org/officeDocument/2006/customXml" ds:itemID="{C733D160-D2FE-4AC0-8327-CAD5673187A3}">
  <ds:schemaRefs/>
</ds:datastoreItem>
</file>

<file path=customXml/itemProps18.xml><?xml version="1.0" encoding="utf-8"?>
<ds:datastoreItem xmlns:ds="http://schemas.openxmlformats.org/officeDocument/2006/customXml" ds:itemID="{9357F127-BCF0-4CE4-859E-86A0B7BAC8DD}">
  <ds:schemaRefs/>
</ds:datastoreItem>
</file>

<file path=customXml/itemProps19.xml><?xml version="1.0" encoding="utf-8"?>
<ds:datastoreItem xmlns:ds="http://schemas.openxmlformats.org/officeDocument/2006/customXml" ds:itemID="{4ECD01F2-264D-43F1-8AAB-6143C0093266}">
  <ds:schemaRefs/>
</ds:datastoreItem>
</file>

<file path=customXml/itemProps20.xml><?xml version="1.0" encoding="utf-8"?>
<ds:datastoreItem xmlns:ds="http://schemas.openxmlformats.org/officeDocument/2006/customXml" ds:itemID="{7408D948-1FBC-4D38-BB03-84F2C0619B11}">
  <ds:schemaRefs/>
</ds:datastoreItem>
</file>

<file path=customXml/itemProps21.xml><?xml version="1.0" encoding="utf-8"?>
<ds:datastoreItem xmlns:ds="http://schemas.openxmlformats.org/officeDocument/2006/customXml" ds:itemID="{9CDCC3A1-C01F-47AB-85C5-ACA092E11C87}">
  <ds:schemaRefs/>
</ds:datastoreItem>
</file>

<file path=customXml/itemProps22.xml><?xml version="1.0" encoding="utf-8"?>
<ds:datastoreItem xmlns:ds="http://schemas.openxmlformats.org/officeDocument/2006/customXml" ds:itemID="{0B53731F-915F-4AE0-A712-DA93045FD5EE}">
  <ds:schemaRefs/>
</ds:datastoreItem>
</file>

<file path=customXml/itemProps23.xml><?xml version="1.0" encoding="utf-8"?>
<ds:datastoreItem xmlns:ds="http://schemas.openxmlformats.org/officeDocument/2006/customXml" ds:itemID="{D2A19A32-F8AB-4CEE-AB46-14598C24A008}">
  <ds:schemaRefs/>
</ds:datastoreItem>
</file>

<file path=customXml/itemProps24.xml><?xml version="1.0" encoding="utf-8"?>
<ds:datastoreItem xmlns:ds="http://schemas.openxmlformats.org/officeDocument/2006/customXml" ds:itemID="{A9729A79-7D86-407F-B06C-AD1DFB0DF8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divyaninawe428@gmail.com</dc:creator>
  <cp:lastModifiedBy>divyaninawe428@gmail.com</cp:lastModifiedBy>
  <dcterms:created xsi:type="dcterms:W3CDTF">2026-06-09T10:01:56Z</dcterms:created>
  <dcterms:modified xsi:type="dcterms:W3CDTF">2026-06-10T05:54:59Z</dcterms:modified>
</cp:coreProperties>
</file>